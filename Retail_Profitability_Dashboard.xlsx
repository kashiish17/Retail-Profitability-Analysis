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BD3122F-A565-40E1-8C93-42A4C9AAF9F2}" xr6:coauthVersionLast="47" xr6:coauthVersionMax="47" xr10:uidLastSave="{00000000-0000-0000-0000-000000000000}"/>
  <bookViews>
    <workbookView xWindow="-108" yWindow="-108" windowWidth="23256" windowHeight="12456" activeTab="6" xr2:uid="{00000000-000D-0000-FFFF-FFFF00000000}"/>
  </bookViews>
  <sheets>
    <sheet name="Products" sheetId="1" r:id="rId1"/>
    <sheet name="Customers" sheetId="2" r:id="rId2"/>
    <sheet name="Orders" sheetId="3" r:id="rId3"/>
    <sheet name="Sheet1" sheetId="4" r:id="rId4"/>
    <sheet name="Sheet2" sheetId="5" r:id="rId5"/>
    <sheet name="Sheet5" sheetId="8" r:id="rId6"/>
    <sheet name="Sheet3" sheetId="6" r:id="rId7"/>
  </sheets>
  <definedNames>
    <definedName name="NativeTimeline_Order_date">#N/A</definedName>
    <definedName name="Slicer_Category">#N/A</definedName>
    <definedName name="Slicer_City">#N/A</definedName>
    <definedName name="Slicer_Gender">#N/A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2" i="4"/>
  <c r="B5" i="5"/>
  <c r="B506" i="4"/>
  <c r="L3" i="4"/>
  <c r="N3" i="4" s="1"/>
  <c r="L4" i="4"/>
  <c r="N4" i="4" s="1"/>
  <c r="L5" i="4"/>
  <c r="N5" i="4" s="1"/>
  <c r="L6" i="4"/>
  <c r="N6" i="4" s="1"/>
  <c r="L7" i="4"/>
  <c r="N7" i="4" s="1"/>
  <c r="L8" i="4"/>
  <c r="N8" i="4" s="1"/>
  <c r="L9" i="4"/>
  <c r="N9" i="4" s="1"/>
  <c r="L10" i="4"/>
  <c r="N10" i="4" s="1"/>
  <c r="L11" i="4"/>
  <c r="N11" i="4" s="1"/>
  <c r="L12" i="4"/>
  <c r="N12" i="4" s="1"/>
  <c r="L13" i="4"/>
  <c r="N13" i="4" s="1"/>
  <c r="L14" i="4"/>
  <c r="N14" i="4" s="1"/>
  <c r="L15" i="4"/>
  <c r="N15" i="4" s="1"/>
  <c r="L16" i="4"/>
  <c r="N16" i="4" s="1"/>
  <c r="L17" i="4"/>
  <c r="N17" i="4" s="1"/>
  <c r="L18" i="4"/>
  <c r="N18" i="4" s="1"/>
  <c r="L19" i="4"/>
  <c r="N19" i="4" s="1"/>
  <c r="L20" i="4"/>
  <c r="N20" i="4" s="1"/>
  <c r="L21" i="4"/>
  <c r="N21" i="4" s="1"/>
  <c r="L22" i="4"/>
  <c r="N22" i="4" s="1"/>
  <c r="L23" i="4"/>
  <c r="N23" i="4" s="1"/>
  <c r="L24" i="4"/>
  <c r="N24" i="4" s="1"/>
  <c r="L25" i="4"/>
  <c r="N25" i="4" s="1"/>
  <c r="L26" i="4"/>
  <c r="N26" i="4" s="1"/>
  <c r="L27" i="4"/>
  <c r="N27" i="4" s="1"/>
  <c r="L28" i="4"/>
  <c r="N28" i="4" s="1"/>
  <c r="L29" i="4"/>
  <c r="N29" i="4" s="1"/>
  <c r="L30" i="4"/>
  <c r="N30" i="4" s="1"/>
  <c r="L31" i="4"/>
  <c r="N31" i="4" s="1"/>
  <c r="L32" i="4"/>
  <c r="N32" i="4" s="1"/>
  <c r="L33" i="4"/>
  <c r="N33" i="4" s="1"/>
  <c r="L34" i="4"/>
  <c r="N34" i="4" s="1"/>
  <c r="L35" i="4"/>
  <c r="N35" i="4" s="1"/>
  <c r="L36" i="4"/>
  <c r="N36" i="4" s="1"/>
  <c r="L37" i="4"/>
  <c r="N37" i="4" s="1"/>
  <c r="L38" i="4"/>
  <c r="N38" i="4" s="1"/>
  <c r="L39" i="4"/>
  <c r="N39" i="4" s="1"/>
  <c r="L40" i="4"/>
  <c r="N40" i="4" s="1"/>
  <c r="L41" i="4"/>
  <c r="N41" i="4" s="1"/>
  <c r="L42" i="4"/>
  <c r="N42" i="4" s="1"/>
  <c r="L43" i="4"/>
  <c r="N43" i="4" s="1"/>
  <c r="L44" i="4"/>
  <c r="N44" i="4" s="1"/>
  <c r="L45" i="4"/>
  <c r="N45" i="4" s="1"/>
  <c r="L46" i="4"/>
  <c r="N46" i="4" s="1"/>
  <c r="L47" i="4"/>
  <c r="N47" i="4" s="1"/>
  <c r="L48" i="4"/>
  <c r="N48" i="4" s="1"/>
  <c r="L49" i="4"/>
  <c r="N49" i="4" s="1"/>
  <c r="L50" i="4"/>
  <c r="N50" i="4" s="1"/>
  <c r="L51" i="4"/>
  <c r="N51" i="4" s="1"/>
  <c r="L52" i="4"/>
  <c r="N52" i="4" s="1"/>
  <c r="L53" i="4"/>
  <c r="N53" i="4" s="1"/>
  <c r="L54" i="4"/>
  <c r="N54" i="4" s="1"/>
  <c r="L55" i="4"/>
  <c r="N55" i="4" s="1"/>
  <c r="L56" i="4"/>
  <c r="N56" i="4" s="1"/>
  <c r="L57" i="4"/>
  <c r="N57" i="4" s="1"/>
  <c r="L58" i="4"/>
  <c r="N58" i="4" s="1"/>
  <c r="L59" i="4"/>
  <c r="N59" i="4" s="1"/>
  <c r="L60" i="4"/>
  <c r="N60" i="4" s="1"/>
  <c r="L61" i="4"/>
  <c r="N61" i="4" s="1"/>
  <c r="L62" i="4"/>
  <c r="N62" i="4" s="1"/>
  <c r="L63" i="4"/>
  <c r="N63" i="4" s="1"/>
  <c r="L64" i="4"/>
  <c r="N64" i="4" s="1"/>
  <c r="L65" i="4"/>
  <c r="N65" i="4" s="1"/>
  <c r="L66" i="4"/>
  <c r="N66" i="4" s="1"/>
  <c r="L67" i="4"/>
  <c r="N67" i="4" s="1"/>
  <c r="L68" i="4"/>
  <c r="N68" i="4" s="1"/>
  <c r="L69" i="4"/>
  <c r="N69" i="4" s="1"/>
  <c r="L70" i="4"/>
  <c r="N70" i="4" s="1"/>
  <c r="L71" i="4"/>
  <c r="N71" i="4" s="1"/>
  <c r="L72" i="4"/>
  <c r="N72" i="4" s="1"/>
  <c r="L73" i="4"/>
  <c r="N73" i="4" s="1"/>
  <c r="L74" i="4"/>
  <c r="N74" i="4" s="1"/>
  <c r="L75" i="4"/>
  <c r="N75" i="4" s="1"/>
  <c r="L76" i="4"/>
  <c r="N76" i="4" s="1"/>
  <c r="L77" i="4"/>
  <c r="N77" i="4" s="1"/>
  <c r="L78" i="4"/>
  <c r="N78" i="4" s="1"/>
  <c r="L79" i="4"/>
  <c r="N79" i="4" s="1"/>
  <c r="L80" i="4"/>
  <c r="N80" i="4" s="1"/>
  <c r="L81" i="4"/>
  <c r="N81" i="4" s="1"/>
  <c r="L82" i="4"/>
  <c r="N82" i="4" s="1"/>
  <c r="L83" i="4"/>
  <c r="N83" i="4" s="1"/>
  <c r="L84" i="4"/>
  <c r="N84" i="4" s="1"/>
  <c r="L85" i="4"/>
  <c r="N85" i="4" s="1"/>
  <c r="L86" i="4"/>
  <c r="N86" i="4" s="1"/>
  <c r="L87" i="4"/>
  <c r="N87" i="4" s="1"/>
  <c r="L88" i="4"/>
  <c r="N88" i="4" s="1"/>
  <c r="L89" i="4"/>
  <c r="N89" i="4" s="1"/>
  <c r="L90" i="4"/>
  <c r="N90" i="4" s="1"/>
  <c r="L91" i="4"/>
  <c r="N91" i="4" s="1"/>
  <c r="L92" i="4"/>
  <c r="N92" i="4" s="1"/>
  <c r="L93" i="4"/>
  <c r="N93" i="4" s="1"/>
  <c r="L94" i="4"/>
  <c r="N94" i="4" s="1"/>
  <c r="L95" i="4"/>
  <c r="N95" i="4" s="1"/>
  <c r="L96" i="4"/>
  <c r="N96" i="4" s="1"/>
  <c r="L97" i="4"/>
  <c r="N97" i="4" s="1"/>
  <c r="L98" i="4"/>
  <c r="N98" i="4" s="1"/>
  <c r="L99" i="4"/>
  <c r="N99" i="4" s="1"/>
  <c r="L100" i="4"/>
  <c r="N100" i="4" s="1"/>
  <c r="L101" i="4"/>
  <c r="N101" i="4" s="1"/>
  <c r="L102" i="4"/>
  <c r="N102" i="4" s="1"/>
  <c r="L103" i="4"/>
  <c r="N103" i="4" s="1"/>
  <c r="L104" i="4"/>
  <c r="N104" i="4" s="1"/>
  <c r="L105" i="4"/>
  <c r="N105" i="4" s="1"/>
  <c r="L106" i="4"/>
  <c r="N106" i="4" s="1"/>
  <c r="L107" i="4"/>
  <c r="N107" i="4" s="1"/>
  <c r="L108" i="4"/>
  <c r="N108" i="4" s="1"/>
  <c r="L109" i="4"/>
  <c r="N109" i="4" s="1"/>
  <c r="L110" i="4"/>
  <c r="N110" i="4" s="1"/>
  <c r="L111" i="4"/>
  <c r="N111" i="4" s="1"/>
  <c r="L112" i="4"/>
  <c r="N112" i="4" s="1"/>
  <c r="L113" i="4"/>
  <c r="N113" i="4" s="1"/>
  <c r="L114" i="4"/>
  <c r="N114" i="4" s="1"/>
  <c r="L115" i="4"/>
  <c r="N115" i="4" s="1"/>
  <c r="L116" i="4"/>
  <c r="N116" i="4" s="1"/>
  <c r="L117" i="4"/>
  <c r="N117" i="4" s="1"/>
  <c r="L118" i="4"/>
  <c r="N118" i="4" s="1"/>
  <c r="L119" i="4"/>
  <c r="N119" i="4" s="1"/>
  <c r="L120" i="4"/>
  <c r="N120" i="4" s="1"/>
  <c r="L121" i="4"/>
  <c r="N121" i="4" s="1"/>
  <c r="L122" i="4"/>
  <c r="N122" i="4" s="1"/>
  <c r="L123" i="4"/>
  <c r="N123" i="4" s="1"/>
  <c r="L124" i="4"/>
  <c r="N124" i="4" s="1"/>
  <c r="L125" i="4"/>
  <c r="N125" i="4" s="1"/>
  <c r="L126" i="4"/>
  <c r="N126" i="4" s="1"/>
  <c r="L127" i="4"/>
  <c r="N127" i="4" s="1"/>
  <c r="L128" i="4"/>
  <c r="N128" i="4" s="1"/>
  <c r="L129" i="4"/>
  <c r="N129" i="4" s="1"/>
  <c r="L130" i="4"/>
  <c r="N130" i="4" s="1"/>
  <c r="L131" i="4"/>
  <c r="N131" i="4" s="1"/>
  <c r="L132" i="4"/>
  <c r="N132" i="4" s="1"/>
  <c r="L133" i="4"/>
  <c r="N133" i="4" s="1"/>
  <c r="L134" i="4"/>
  <c r="N134" i="4" s="1"/>
  <c r="L135" i="4"/>
  <c r="N135" i="4" s="1"/>
  <c r="L136" i="4"/>
  <c r="N136" i="4" s="1"/>
  <c r="L137" i="4"/>
  <c r="N137" i="4" s="1"/>
  <c r="L138" i="4"/>
  <c r="N138" i="4" s="1"/>
  <c r="L139" i="4"/>
  <c r="N139" i="4" s="1"/>
  <c r="L140" i="4"/>
  <c r="N140" i="4" s="1"/>
  <c r="L141" i="4"/>
  <c r="N141" i="4" s="1"/>
  <c r="L142" i="4"/>
  <c r="N142" i="4" s="1"/>
  <c r="L143" i="4"/>
  <c r="N143" i="4" s="1"/>
  <c r="L144" i="4"/>
  <c r="N144" i="4" s="1"/>
  <c r="L145" i="4"/>
  <c r="N145" i="4" s="1"/>
  <c r="L146" i="4"/>
  <c r="N146" i="4" s="1"/>
  <c r="L147" i="4"/>
  <c r="N147" i="4" s="1"/>
  <c r="L148" i="4"/>
  <c r="N148" i="4" s="1"/>
  <c r="L149" i="4"/>
  <c r="N149" i="4" s="1"/>
  <c r="L150" i="4"/>
  <c r="N150" i="4" s="1"/>
  <c r="L151" i="4"/>
  <c r="N151" i="4" s="1"/>
  <c r="L152" i="4"/>
  <c r="N152" i="4" s="1"/>
  <c r="L153" i="4"/>
  <c r="N153" i="4" s="1"/>
  <c r="L154" i="4"/>
  <c r="N154" i="4" s="1"/>
  <c r="L155" i="4"/>
  <c r="N155" i="4" s="1"/>
  <c r="L156" i="4"/>
  <c r="N156" i="4" s="1"/>
  <c r="L157" i="4"/>
  <c r="N157" i="4" s="1"/>
  <c r="L158" i="4"/>
  <c r="N158" i="4" s="1"/>
  <c r="L159" i="4"/>
  <c r="N159" i="4" s="1"/>
  <c r="L160" i="4"/>
  <c r="N160" i="4" s="1"/>
  <c r="L161" i="4"/>
  <c r="N161" i="4" s="1"/>
  <c r="L162" i="4"/>
  <c r="N162" i="4" s="1"/>
  <c r="L163" i="4"/>
  <c r="N163" i="4" s="1"/>
  <c r="L164" i="4"/>
  <c r="N164" i="4" s="1"/>
  <c r="L165" i="4"/>
  <c r="N165" i="4" s="1"/>
  <c r="L166" i="4"/>
  <c r="N166" i="4" s="1"/>
  <c r="L167" i="4"/>
  <c r="N167" i="4" s="1"/>
  <c r="L168" i="4"/>
  <c r="N168" i="4" s="1"/>
  <c r="L169" i="4"/>
  <c r="N169" i="4" s="1"/>
  <c r="L170" i="4"/>
  <c r="N170" i="4" s="1"/>
  <c r="L171" i="4"/>
  <c r="N171" i="4" s="1"/>
  <c r="L172" i="4"/>
  <c r="N172" i="4" s="1"/>
  <c r="L173" i="4"/>
  <c r="N173" i="4" s="1"/>
  <c r="L174" i="4"/>
  <c r="N174" i="4" s="1"/>
  <c r="L175" i="4"/>
  <c r="N175" i="4" s="1"/>
  <c r="L176" i="4"/>
  <c r="N176" i="4" s="1"/>
  <c r="L177" i="4"/>
  <c r="N177" i="4" s="1"/>
  <c r="L178" i="4"/>
  <c r="N178" i="4" s="1"/>
  <c r="L179" i="4"/>
  <c r="N179" i="4" s="1"/>
  <c r="L180" i="4"/>
  <c r="N180" i="4" s="1"/>
  <c r="L181" i="4"/>
  <c r="N181" i="4" s="1"/>
  <c r="L182" i="4"/>
  <c r="N182" i="4" s="1"/>
  <c r="L183" i="4"/>
  <c r="N183" i="4" s="1"/>
  <c r="L184" i="4"/>
  <c r="N184" i="4" s="1"/>
  <c r="L185" i="4"/>
  <c r="N185" i="4" s="1"/>
  <c r="L186" i="4"/>
  <c r="N186" i="4" s="1"/>
  <c r="L187" i="4"/>
  <c r="N187" i="4" s="1"/>
  <c r="L188" i="4"/>
  <c r="N188" i="4" s="1"/>
  <c r="L189" i="4"/>
  <c r="N189" i="4" s="1"/>
  <c r="L190" i="4"/>
  <c r="N190" i="4" s="1"/>
  <c r="L191" i="4"/>
  <c r="N191" i="4" s="1"/>
  <c r="L192" i="4"/>
  <c r="N192" i="4" s="1"/>
  <c r="L193" i="4"/>
  <c r="N193" i="4" s="1"/>
  <c r="L194" i="4"/>
  <c r="N194" i="4" s="1"/>
  <c r="L195" i="4"/>
  <c r="N195" i="4" s="1"/>
  <c r="L196" i="4"/>
  <c r="N196" i="4" s="1"/>
  <c r="L197" i="4"/>
  <c r="N197" i="4" s="1"/>
  <c r="L198" i="4"/>
  <c r="N198" i="4" s="1"/>
  <c r="L199" i="4"/>
  <c r="N199" i="4" s="1"/>
  <c r="L200" i="4"/>
  <c r="N200" i="4" s="1"/>
  <c r="L201" i="4"/>
  <c r="N201" i="4" s="1"/>
  <c r="L202" i="4"/>
  <c r="N202" i="4" s="1"/>
  <c r="L203" i="4"/>
  <c r="N203" i="4" s="1"/>
  <c r="L204" i="4"/>
  <c r="N204" i="4" s="1"/>
  <c r="L205" i="4"/>
  <c r="N205" i="4" s="1"/>
  <c r="L206" i="4"/>
  <c r="N206" i="4" s="1"/>
  <c r="L207" i="4"/>
  <c r="N207" i="4" s="1"/>
  <c r="L208" i="4"/>
  <c r="N208" i="4" s="1"/>
  <c r="L209" i="4"/>
  <c r="N209" i="4" s="1"/>
  <c r="L210" i="4"/>
  <c r="N210" i="4" s="1"/>
  <c r="L211" i="4"/>
  <c r="N211" i="4" s="1"/>
  <c r="L212" i="4"/>
  <c r="N212" i="4" s="1"/>
  <c r="L213" i="4"/>
  <c r="N213" i="4" s="1"/>
  <c r="L214" i="4"/>
  <c r="N214" i="4" s="1"/>
  <c r="L215" i="4"/>
  <c r="N215" i="4" s="1"/>
  <c r="L216" i="4"/>
  <c r="N216" i="4" s="1"/>
  <c r="L217" i="4"/>
  <c r="N217" i="4" s="1"/>
  <c r="L218" i="4"/>
  <c r="N218" i="4" s="1"/>
  <c r="L219" i="4"/>
  <c r="N219" i="4" s="1"/>
  <c r="L220" i="4"/>
  <c r="N220" i="4" s="1"/>
  <c r="L221" i="4"/>
  <c r="N221" i="4" s="1"/>
  <c r="L222" i="4"/>
  <c r="N222" i="4" s="1"/>
  <c r="L223" i="4"/>
  <c r="N223" i="4" s="1"/>
  <c r="L224" i="4"/>
  <c r="N224" i="4" s="1"/>
  <c r="L225" i="4"/>
  <c r="N225" i="4" s="1"/>
  <c r="L226" i="4"/>
  <c r="N226" i="4" s="1"/>
  <c r="L227" i="4"/>
  <c r="N227" i="4" s="1"/>
  <c r="L228" i="4"/>
  <c r="N228" i="4" s="1"/>
  <c r="L229" i="4"/>
  <c r="N229" i="4" s="1"/>
  <c r="L230" i="4"/>
  <c r="N230" i="4" s="1"/>
  <c r="L231" i="4"/>
  <c r="N231" i="4" s="1"/>
  <c r="L232" i="4"/>
  <c r="N232" i="4" s="1"/>
  <c r="L233" i="4"/>
  <c r="N233" i="4" s="1"/>
  <c r="L234" i="4"/>
  <c r="N234" i="4" s="1"/>
  <c r="L235" i="4"/>
  <c r="N235" i="4" s="1"/>
  <c r="L236" i="4"/>
  <c r="N236" i="4" s="1"/>
  <c r="L237" i="4"/>
  <c r="N237" i="4" s="1"/>
  <c r="L238" i="4"/>
  <c r="N238" i="4" s="1"/>
  <c r="L239" i="4"/>
  <c r="N239" i="4" s="1"/>
  <c r="L240" i="4"/>
  <c r="N240" i="4" s="1"/>
  <c r="L241" i="4"/>
  <c r="N241" i="4" s="1"/>
  <c r="L242" i="4"/>
  <c r="N242" i="4" s="1"/>
  <c r="L243" i="4"/>
  <c r="N243" i="4" s="1"/>
  <c r="L244" i="4"/>
  <c r="N244" i="4" s="1"/>
  <c r="L245" i="4"/>
  <c r="N245" i="4" s="1"/>
  <c r="L246" i="4"/>
  <c r="N246" i="4" s="1"/>
  <c r="L247" i="4"/>
  <c r="N247" i="4" s="1"/>
  <c r="L248" i="4"/>
  <c r="N248" i="4" s="1"/>
  <c r="L249" i="4"/>
  <c r="N249" i="4" s="1"/>
  <c r="L250" i="4"/>
  <c r="N250" i="4" s="1"/>
  <c r="L251" i="4"/>
  <c r="N251" i="4" s="1"/>
  <c r="L252" i="4"/>
  <c r="N252" i="4" s="1"/>
  <c r="L253" i="4"/>
  <c r="N253" i="4" s="1"/>
  <c r="L254" i="4"/>
  <c r="N254" i="4" s="1"/>
  <c r="L255" i="4"/>
  <c r="N255" i="4" s="1"/>
  <c r="L256" i="4"/>
  <c r="N256" i="4" s="1"/>
  <c r="L257" i="4"/>
  <c r="N257" i="4" s="1"/>
  <c r="L258" i="4"/>
  <c r="N258" i="4" s="1"/>
  <c r="L259" i="4"/>
  <c r="N259" i="4" s="1"/>
  <c r="L260" i="4"/>
  <c r="N260" i="4" s="1"/>
  <c r="L261" i="4"/>
  <c r="N261" i="4" s="1"/>
  <c r="L262" i="4"/>
  <c r="N262" i="4" s="1"/>
  <c r="L263" i="4"/>
  <c r="N263" i="4" s="1"/>
  <c r="L264" i="4"/>
  <c r="N264" i="4" s="1"/>
  <c r="L265" i="4"/>
  <c r="N265" i="4" s="1"/>
  <c r="L266" i="4"/>
  <c r="N266" i="4" s="1"/>
  <c r="L267" i="4"/>
  <c r="N267" i="4" s="1"/>
  <c r="L268" i="4"/>
  <c r="N268" i="4" s="1"/>
  <c r="L269" i="4"/>
  <c r="N269" i="4" s="1"/>
  <c r="L270" i="4"/>
  <c r="N270" i="4" s="1"/>
  <c r="L271" i="4"/>
  <c r="N271" i="4" s="1"/>
  <c r="L272" i="4"/>
  <c r="N272" i="4" s="1"/>
  <c r="L273" i="4"/>
  <c r="N273" i="4" s="1"/>
  <c r="L274" i="4"/>
  <c r="N274" i="4" s="1"/>
  <c r="L275" i="4"/>
  <c r="N275" i="4" s="1"/>
  <c r="L276" i="4"/>
  <c r="N276" i="4" s="1"/>
  <c r="L277" i="4"/>
  <c r="N277" i="4" s="1"/>
  <c r="L278" i="4"/>
  <c r="N278" i="4" s="1"/>
  <c r="L279" i="4"/>
  <c r="N279" i="4" s="1"/>
  <c r="L280" i="4"/>
  <c r="N280" i="4" s="1"/>
  <c r="L281" i="4"/>
  <c r="N281" i="4" s="1"/>
  <c r="L282" i="4"/>
  <c r="N282" i="4" s="1"/>
  <c r="L283" i="4"/>
  <c r="N283" i="4" s="1"/>
  <c r="L284" i="4"/>
  <c r="N284" i="4" s="1"/>
  <c r="L285" i="4"/>
  <c r="N285" i="4" s="1"/>
  <c r="L286" i="4"/>
  <c r="N286" i="4" s="1"/>
  <c r="L287" i="4"/>
  <c r="N287" i="4" s="1"/>
  <c r="L288" i="4"/>
  <c r="N288" i="4" s="1"/>
  <c r="L289" i="4"/>
  <c r="N289" i="4" s="1"/>
  <c r="L290" i="4"/>
  <c r="N290" i="4" s="1"/>
  <c r="L291" i="4"/>
  <c r="N291" i="4" s="1"/>
  <c r="L292" i="4"/>
  <c r="N292" i="4" s="1"/>
  <c r="L293" i="4"/>
  <c r="N293" i="4" s="1"/>
  <c r="L294" i="4"/>
  <c r="N294" i="4" s="1"/>
  <c r="L295" i="4"/>
  <c r="N295" i="4" s="1"/>
  <c r="L296" i="4"/>
  <c r="N296" i="4" s="1"/>
  <c r="L297" i="4"/>
  <c r="N297" i="4" s="1"/>
  <c r="L298" i="4"/>
  <c r="N298" i="4" s="1"/>
  <c r="L299" i="4"/>
  <c r="N299" i="4" s="1"/>
  <c r="L300" i="4"/>
  <c r="N300" i="4" s="1"/>
  <c r="L301" i="4"/>
  <c r="N301" i="4" s="1"/>
  <c r="L302" i="4"/>
  <c r="N302" i="4" s="1"/>
  <c r="L303" i="4"/>
  <c r="N303" i="4" s="1"/>
  <c r="L304" i="4"/>
  <c r="N304" i="4" s="1"/>
  <c r="L305" i="4"/>
  <c r="N305" i="4" s="1"/>
  <c r="L306" i="4"/>
  <c r="N306" i="4" s="1"/>
  <c r="L307" i="4"/>
  <c r="N307" i="4" s="1"/>
  <c r="L308" i="4"/>
  <c r="N308" i="4" s="1"/>
  <c r="L309" i="4"/>
  <c r="N309" i="4" s="1"/>
  <c r="L310" i="4"/>
  <c r="N310" i="4" s="1"/>
  <c r="L311" i="4"/>
  <c r="N311" i="4" s="1"/>
  <c r="L312" i="4"/>
  <c r="N312" i="4" s="1"/>
  <c r="L313" i="4"/>
  <c r="N313" i="4" s="1"/>
  <c r="L314" i="4"/>
  <c r="N314" i="4" s="1"/>
  <c r="L315" i="4"/>
  <c r="N315" i="4" s="1"/>
  <c r="L316" i="4"/>
  <c r="N316" i="4" s="1"/>
  <c r="L317" i="4"/>
  <c r="N317" i="4" s="1"/>
  <c r="L318" i="4"/>
  <c r="N318" i="4" s="1"/>
  <c r="L319" i="4"/>
  <c r="N319" i="4" s="1"/>
  <c r="L320" i="4"/>
  <c r="N320" i="4" s="1"/>
  <c r="L321" i="4"/>
  <c r="N321" i="4" s="1"/>
  <c r="L322" i="4"/>
  <c r="N322" i="4" s="1"/>
  <c r="L323" i="4"/>
  <c r="N323" i="4" s="1"/>
  <c r="L324" i="4"/>
  <c r="N324" i="4" s="1"/>
  <c r="L325" i="4"/>
  <c r="N325" i="4" s="1"/>
  <c r="L326" i="4"/>
  <c r="N326" i="4" s="1"/>
  <c r="L327" i="4"/>
  <c r="N327" i="4" s="1"/>
  <c r="L328" i="4"/>
  <c r="N328" i="4" s="1"/>
  <c r="L329" i="4"/>
  <c r="N329" i="4" s="1"/>
  <c r="L330" i="4"/>
  <c r="N330" i="4" s="1"/>
  <c r="L331" i="4"/>
  <c r="N331" i="4" s="1"/>
  <c r="L332" i="4"/>
  <c r="N332" i="4" s="1"/>
  <c r="L333" i="4"/>
  <c r="N333" i="4" s="1"/>
  <c r="L334" i="4"/>
  <c r="N334" i="4" s="1"/>
  <c r="L335" i="4"/>
  <c r="N335" i="4" s="1"/>
  <c r="L336" i="4"/>
  <c r="N336" i="4" s="1"/>
  <c r="L337" i="4"/>
  <c r="N337" i="4" s="1"/>
  <c r="L338" i="4"/>
  <c r="N338" i="4" s="1"/>
  <c r="L339" i="4"/>
  <c r="N339" i="4" s="1"/>
  <c r="L340" i="4"/>
  <c r="N340" i="4" s="1"/>
  <c r="L341" i="4"/>
  <c r="N341" i="4" s="1"/>
  <c r="L342" i="4"/>
  <c r="N342" i="4" s="1"/>
  <c r="L343" i="4"/>
  <c r="N343" i="4" s="1"/>
  <c r="L344" i="4"/>
  <c r="N344" i="4" s="1"/>
  <c r="L345" i="4"/>
  <c r="N345" i="4" s="1"/>
  <c r="L346" i="4"/>
  <c r="N346" i="4" s="1"/>
  <c r="L347" i="4"/>
  <c r="N347" i="4" s="1"/>
  <c r="L348" i="4"/>
  <c r="N348" i="4" s="1"/>
  <c r="L349" i="4"/>
  <c r="N349" i="4" s="1"/>
  <c r="L350" i="4"/>
  <c r="N350" i="4" s="1"/>
  <c r="L351" i="4"/>
  <c r="N351" i="4" s="1"/>
  <c r="L352" i="4"/>
  <c r="N352" i="4" s="1"/>
  <c r="L353" i="4"/>
  <c r="N353" i="4" s="1"/>
  <c r="L354" i="4"/>
  <c r="N354" i="4" s="1"/>
  <c r="L355" i="4"/>
  <c r="N355" i="4" s="1"/>
  <c r="L356" i="4"/>
  <c r="N356" i="4" s="1"/>
  <c r="L357" i="4"/>
  <c r="N357" i="4" s="1"/>
  <c r="L358" i="4"/>
  <c r="N358" i="4" s="1"/>
  <c r="L359" i="4"/>
  <c r="N359" i="4" s="1"/>
  <c r="L360" i="4"/>
  <c r="N360" i="4" s="1"/>
  <c r="L361" i="4"/>
  <c r="N361" i="4" s="1"/>
  <c r="L362" i="4"/>
  <c r="N362" i="4" s="1"/>
  <c r="L363" i="4"/>
  <c r="N363" i="4" s="1"/>
  <c r="L364" i="4"/>
  <c r="N364" i="4" s="1"/>
  <c r="L365" i="4"/>
  <c r="N365" i="4" s="1"/>
  <c r="L366" i="4"/>
  <c r="N366" i="4" s="1"/>
  <c r="L367" i="4"/>
  <c r="N367" i="4" s="1"/>
  <c r="L368" i="4"/>
  <c r="N368" i="4" s="1"/>
  <c r="L369" i="4"/>
  <c r="N369" i="4" s="1"/>
  <c r="L370" i="4"/>
  <c r="N370" i="4" s="1"/>
  <c r="L371" i="4"/>
  <c r="N371" i="4" s="1"/>
  <c r="L372" i="4"/>
  <c r="N372" i="4" s="1"/>
  <c r="L373" i="4"/>
  <c r="N373" i="4" s="1"/>
  <c r="L374" i="4"/>
  <c r="N374" i="4" s="1"/>
  <c r="L375" i="4"/>
  <c r="N375" i="4" s="1"/>
  <c r="L376" i="4"/>
  <c r="N376" i="4" s="1"/>
  <c r="L377" i="4"/>
  <c r="N377" i="4" s="1"/>
  <c r="L378" i="4"/>
  <c r="N378" i="4" s="1"/>
  <c r="L379" i="4"/>
  <c r="N379" i="4" s="1"/>
  <c r="L380" i="4"/>
  <c r="N380" i="4" s="1"/>
  <c r="L381" i="4"/>
  <c r="N381" i="4" s="1"/>
  <c r="L382" i="4"/>
  <c r="N382" i="4" s="1"/>
  <c r="L383" i="4"/>
  <c r="N383" i="4" s="1"/>
  <c r="L384" i="4"/>
  <c r="N384" i="4" s="1"/>
  <c r="L385" i="4"/>
  <c r="N385" i="4" s="1"/>
  <c r="L386" i="4"/>
  <c r="N386" i="4" s="1"/>
  <c r="L387" i="4"/>
  <c r="N387" i="4" s="1"/>
  <c r="L388" i="4"/>
  <c r="N388" i="4" s="1"/>
  <c r="L389" i="4"/>
  <c r="N389" i="4" s="1"/>
  <c r="L390" i="4"/>
  <c r="N390" i="4" s="1"/>
  <c r="L391" i="4"/>
  <c r="N391" i="4" s="1"/>
  <c r="L392" i="4"/>
  <c r="N392" i="4" s="1"/>
  <c r="L393" i="4"/>
  <c r="N393" i="4" s="1"/>
  <c r="L394" i="4"/>
  <c r="N394" i="4" s="1"/>
  <c r="L395" i="4"/>
  <c r="N395" i="4" s="1"/>
  <c r="L396" i="4"/>
  <c r="N396" i="4" s="1"/>
  <c r="L397" i="4"/>
  <c r="N397" i="4" s="1"/>
  <c r="L398" i="4"/>
  <c r="N398" i="4" s="1"/>
  <c r="L399" i="4"/>
  <c r="N399" i="4" s="1"/>
  <c r="L400" i="4"/>
  <c r="N400" i="4" s="1"/>
  <c r="L401" i="4"/>
  <c r="N401" i="4" s="1"/>
  <c r="L402" i="4"/>
  <c r="N402" i="4" s="1"/>
  <c r="L403" i="4"/>
  <c r="N403" i="4" s="1"/>
  <c r="L404" i="4"/>
  <c r="N404" i="4" s="1"/>
  <c r="L405" i="4"/>
  <c r="N405" i="4" s="1"/>
  <c r="L406" i="4"/>
  <c r="N406" i="4" s="1"/>
  <c r="L407" i="4"/>
  <c r="N407" i="4" s="1"/>
  <c r="L408" i="4"/>
  <c r="N408" i="4" s="1"/>
  <c r="L409" i="4"/>
  <c r="N409" i="4" s="1"/>
  <c r="L410" i="4"/>
  <c r="N410" i="4" s="1"/>
  <c r="L411" i="4"/>
  <c r="N411" i="4" s="1"/>
  <c r="L412" i="4"/>
  <c r="N412" i="4" s="1"/>
  <c r="L413" i="4"/>
  <c r="N413" i="4" s="1"/>
  <c r="L414" i="4"/>
  <c r="N414" i="4" s="1"/>
  <c r="L415" i="4"/>
  <c r="N415" i="4" s="1"/>
  <c r="L416" i="4"/>
  <c r="N416" i="4" s="1"/>
  <c r="L417" i="4"/>
  <c r="N417" i="4" s="1"/>
  <c r="L418" i="4"/>
  <c r="N418" i="4" s="1"/>
  <c r="L419" i="4"/>
  <c r="N419" i="4" s="1"/>
  <c r="L420" i="4"/>
  <c r="N420" i="4" s="1"/>
  <c r="L421" i="4"/>
  <c r="N421" i="4" s="1"/>
  <c r="L422" i="4"/>
  <c r="N422" i="4" s="1"/>
  <c r="L423" i="4"/>
  <c r="N423" i="4" s="1"/>
  <c r="L424" i="4"/>
  <c r="N424" i="4" s="1"/>
  <c r="L425" i="4"/>
  <c r="N425" i="4" s="1"/>
  <c r="L426" i="4"/>
  <c r="N426" i="4" s="1"/>
  <c r="L427" i="4"/>
  <c r="N427" i="4" s="1"/>
  <c r="L428" i="4"/>
  <c r="N428" i="4" s="1"/>
  <c r="L429" i="4"/>
  <c r="N429" i="4" s="1"/>
  <c r="L430" i="4"/>
  <c r="N430" i="4" s="1"/>
  <c r="L431" i="4"/>
  <c r="N431" i="4" s="1"/>
  <c r="L432" i="4"/>
  <c r="N432" i="4" s="1"/>
  <c r="L433" i="4"/>
  <c r="N433" i="4" s="1"/>
  <c r="L434" i="4"/>
  <c r="N434" i="4" s="1"/>
  <c r="L435" i="4"/>
  <c r="N435" i="4" s="1"/>
  <c r="L436" i="4"/>
  <c r="N436" i="4" s="1"/>
  <c r="L437" i="4"/>
  <c r="N437" i="4" s="1"/>
  <c r="L438" i="4"/>
  <c r="N438" i="4" s="1"/>
  <c r="L439" i="4"/>
  <c r="N439" i="4" s="1"/>
  <c r="L440" i="4"/>
  <c r="N440" i="4" s="1"/>
  <c r="L441" i="4"/>
  <c r="N441" i="4" s="1"/>
  <c r="L442" i="4"/>
  <c r="N442" i="4" s="1"/>
  <c r="L443" i="4"/>
  <c r="N443" i="4" s="1"/>
  <c r="L444" i="4"/>
  <c r="N444" i="4" s="1"/>
  <c r="L445" i="4"/>
  <c r="N445" i="4" s="1"/>
  <c r="L446" i="4"/>
  <c r="N446" i="4" s="1"/>
  <c r="L447" i="4"/>
  <c r="N447" i="4" s="1"/>
  <c r="L448" i="4"/>
  <c r="N448" i="4" s="1"/>
  <c r="L449" i="4"/>
  <c r="N449" i="4" s="1"/>
  <c r="L450" i="4"/>
  <c r="N450" i="4" s="1"/>
  <c r="L451" i="4"/>
  <c r="N451" i="4" s="1"/>
  <c r="L452" i="4"/>
  <c r="N452" i="4" s="1"/>
  <c r="L453" i="4"/>
  <c r="N453" i="4" s="1"/>
  <c r="L454" i="4"/>
  <c r="N454" i="4" s="1"/>
  <c r="L455" i="4"/>
  <c r="N455" i="4" s="1"/>
  <c r="L456" i="4"/>
  <c r="N456" i="4" s="1"/>
  <c r="L457" i="4"/>
  <c r="N457" i="4" s="1"/>
  <c r="L458" i="4"/>
  <c r="N458" i="4" s="1"/>
  <c r="L459" i="4"/>
  <c r="N459" i="4" s="1"/>
  <c r="L460" i="4"/>
  <c r="N460" i="4" s="1"/>
  <c r="L461" i="4"/>
  <c r="N461" i="4" s="1"/>
  <c r="L462" i="4"/>
  <c r="N462" i="4" s="1"/>
  <c r="L463" i="4"/>
  <c r="N463" i="4" s="1"/>
  <c r="L464" i="4"/>
  <c r="N464" i="4" s="1"/>
  <c r="L465" i="4"/>
  <c r="N465" i="4" s="1"/>
  <c r="L466" i="4"/>
  <c r="N466" i="4" s="1"/>
  <c r="L467" i="4"/>
  <c r="N467" i="4" s="1"/>
  <c r="L468" i="4"/>
  <c r="N468" i="4" s="1"/>
  <c r="L469" i="4"/>
  <c r="N469" i="4" s="1"/>
  <c r="L470" i="4"/>
  <c r="N470" i="4" s="1"/>
  <c r="L471" i="4"/>
  <c r="N471" i="4" s="1"/>
  <c r="L472" i="4"/>
  <c r="N472" i="4" s="1"/>
  <c r="L473" i="4"/>
  <c r="N473" i="4" s="1"/>
  <c r="L474" i="4"/>
  <c r="N474" i="4" s="1"/>
  <c r="L475" i="4"/>
  <c r="N475" i="4" s="1"/>
  <c r="L476" i="4"/>
  <c r="N476" i="4" s="1"/>
  <c r="L477" i="4"/>
  <c r="N477" i="4" s="1"/>
  <c r="L478" i="4"/>
  <c r="N478" i="4" s="1"/>
  <c r="L479" i="4"/>
  <c r="N479" i="4" s="1"/>
  <c r="L480" i="4"/>
  <c r="N480" i="4" s="1"/>
  <c r="L481" i="4"/>
  <c r="N481" i="4" s="1"/>
  <c r="L482" i="4"/>
  <c r="N482" i="4" s="1"/>
  <c r="L483" i="4"/>
  <c r="N483" i="4" s="1"/>
  <c r="L484" i="4"/>
  <c r="N484" i="4" s="1"/>
  <c r="L485" i="4"/>
  <c r="N485" i="4" s="1"/>
  <c r="L486" i="4"/>
  <c r="N486" i="4" s="1"/>
  <c r="L487" i="4"/>
  <c r="N487" i="4" s="1"/>
  <c r="L488" i="4"/>
  <c r="N488" i="4" s="1"/>
  <c r="L489" i="4"/>
  <c r="N489" i="4" s="1"/>
  <c r="L490" i="4"/>
  <c r="N490" i="4" s="1"/>
  <c r="L491" i="4"/>
  <c r="N491" i="4" s="1"/>
  <c r="L492" i="4"/>
  <c r="N492" i="4" s="1"/>
  <c r="L493" i="4"/>
  <c r="N493" i="4" s="1"/>
  <c r="L494" i="4"/>
  <c r="N494" i="4" s="1"/>
  <c r="L495" i="4"/>
  <c r="N495" i="4" s="1"/>
  <c r="L496" i="4"/>
  <c r="N496" i="4" s="1"/>
  <c r="L497" i="4"/>
  <c r="N497" i="4" s="1"/>
  <c r="L498" i="4"/>
  <c r="N498" i="4" s="1"/>
  <c r="L499" i="4"/>
  <c r="N499" i="4" s="1"/>
  <c r="L500" i="4"/>
  <c r="N500" i="4" s="1"/>
  <c r="L501" i="4"/>
  <c r="N501" i="4" s="1"/>
  <c r="K3" i="4"/>
  <c r="M3" i="4" s="1"/>
  <c r="K4" i="4"/>
  <c r="M4" i="4" s="1"/>
  <c r="K5" i="4"/>
  <c r="M5" i="4" s="1"/>
  <c r="K6" i="4"/>
  <c r="M6" i="4" s="1"/>
  <c r="K7" i="4"/>
  <c r="M7" i="4" s="1"/>
  <c r="K8" i="4"/>
  <c r="M8" i="4" s="1"/>
  <c r="K9" i="4"/>
  <c r="M9" i="4" s="1"/>
  <c r="K10" i="4"/>
  <c r="M10" i="4" s="1"/>
  <c r="K11" i="4"/>
  <c r="M11" i="4" s="1"/>
  <c r="K12" i="4"/>
  <c r="M12" i="4" s="1"/>
  <c r="K13" i="4"/>
  <c r="M13" i="4" s="1"/>
  <c r="K14" i="4"/>
  <c r="M14" i="4" s="1"/>
  <c r="K15" i="4"/>
  <c r="M15" i="4" s="1"/>
  <c r="K16" i="4"/>
  <c r="M16" i="4" s="1"/>
  <c r="K17" i="4"/>
  <c r="M17" i="4" s="1"/>
  <c r="K18" i="4"/>
  <c r="M18" i="4" s="1"/>
  <c r="K19" i="4"/>
  <c r="M19" i="4" s="1"/>
  <c r="K20" i="4"/>
  <c r="M20" i="4" s="1"/>
  <c r="K21" i="4"/>
  <c r="M21" i="4" s="1"/>
  <c r="K22" i="4"/>
  <c r="M22" i="4" s="1"/>
  <c r="K23" i="4"/>
  <c r="M23" i="4" s="1"/>
  <c r="K24" i="4"/>
  <c r="M24" i="4" s="1"/>
  <c r="K25" i="4"/>
  <c r="M25" i="4" s="1"/>
  <c r="K26" i="4"/>
  <c r="M26" i="4" s="1"/>
  <c r="K27" i="4"/>
  <c r="M27" i="4" s="1"/>
  <c r="K28" i="4"/>
  <c r="M28" i="4" s="1"/>
  <c r="K29" i="4"/>
  <c r="M29" i="4" s="1"/>
  <c r="K30" i="4"/>
  <c r="M30" i="4" s="1"/>
  <c r="K31" i="4"/>
  <c r="M31" i="4" s="1"/>
  <c r="K32" i="4"/>
  <c r="M32" i="4" s="1"/>
  <c r="K33" i="4"/>
  <c r="M33" i="4" s="1"/>
  <c r="K34" i="4"/>
  <c r="M34" i="4" s="1"/>
  <c r="K35" i="4"/>
  <c r="M35" i="4" s="1"/>
  <c r="K36" i="4"/>
  <c r="M36" i="4" s="1"/>
  <c r="K37" i="4"/>
  <c r="M37" i="4" s="1"/>
  <c r="K38" i="4"/>
  <c r="M38" i="4" s="1"/>
  <c r="K39" i="4"/>
  <c r="M39" i="4" s="1"/>
  <c r="K40" i="4"/>
  <c r="M40" i="4" s="1"/>
  <c r="K41" i="4"/>
  <c r="M41" i="4" s="1"/>
  <c r="K42" i="4"/>
  <c r="M42" i="4" s="1"/>
  <c r="K43" i="4"/>
  <c r="M43" i="4" s="1"/>
  <c r="K44" i="4"/>
  <c r="M44" i="4" s="1"/>
  <c r="K45" i="4"/>
  <c r="M45" i="4" s="1"/>
  <c r="K46" i="4"/>
  <c r="M46" i="4" s="1"/>
  <c r="K47" i="4"/>
  <c r="M47" i="4" s="1"/>
  <c r="K48" i="4"/>
  <c r="M48" i="4" s="1"/>
  <c r="K49" i="4"/>
  <c r="M49" i="4" s="1"/>
  <c r="K50" i="4"/>
  <c r="M50" i="4" s="1"/>
  <c r="K51" i="4"/>
  <c r="M51" i="4" s="1"/>
  <c r="K52" i="4"/>
  <c r="M52" i="4" s="1"/>
  <c r="K53" i="4"/>
  <c r="M53" i="4" s="1"/>
  <c r="K54" i="4"/>
  <c r="M54" i="4" s="1"/>
  <c r="K55" i="4"/>
  <c r="M55" i="4" s="1"/>
  <c r="K56" i="4"/>
  <c r="M56" i="4" s="1"/>
  <c r="K57" i="4"/>
  <c r="M57" i="4" s="1"/>
  <c r="K58" i="4"/>
  <c r="M58" i="4" s="1"/>
  <c r="K59" i="4"/>
  <c r="M59" i="4" s="1"/>
  <c r="K60" i="4"/>
  <c r="M60" i="4" s="1"/>
  <c r="K61" i="4"/>
  <c r="M61" i="4" s="1"/>
  <c r="K62" i="4"/>
  <c r="M62" i="4" s="1"/>
  <c r="K63" i="4"/>
  <c r="M63" i="4" s="1"/>
  <c r="K64" i="4"/>
  <c r="M64" i="4" s="1"/>
  <c r="K65" i="4"/>
  <c r="M65" i="4" s="1"/>
  <c r="K66" i="4"/>
  <c r="M66" i="4" s="1"/>
  <c r="K67" i="4"/>
  <c r="M67" i="4" s="1"/>
  <c r="K68" i="4"/>
  <c r="M68" i="4" s="1"/>
  <c r="K69" i="4"/>
  <c r="M69" i="4" s="1"/>
  <c r="K70" i="4"/>
  <c r="M70" i="4" s="1"/>
  <c r="K71" i="4"/>
  <c r="M71" i="4" s="1"/>
  <c r="K72" i="4"/>
  <c r="M72" i="4" s="1"/>
  <c r="K73" i="4"/>
  <c r="M73" i="4" s="1"/>
  <c r="K74" i="4"/>
  <c r="M74" i="4" s="1"/>
  <c r="K75" i="4"/>
  <c r="M75" i="4" s="1"/>
  <c r="K76" i="4"/>
  <c r="M76" i="4" s="1"/>
  <c r="K77" i="4"/>
  <c r="M77" i="4" s="1"/>
  <c r="K78" i="4"/>
  <c r="M78" i="4" s="1"/>
  <c r="K79" i="4"/>
  <c r="M79" i="4" s="1"/>
  <c r="K80" i="4"/>
  <c r="M80" i="4" s="1"/>
  <c r="K81" i="4"/>
  <c r="M81" i="4" s="1"/>
  <c r="K82" i="4"/>
  <c r="M82" i="4" s="1"/>
  <c r="K83" i="4"/>
  <c r="M83" i="4" s="1"/>
  <c r="K84" i="4"/>
  <c r="M84" i="4" s="1"/>
  <c r="K85" i="4"/>
  <c r="M85" i="4" s="1"/>
  <c r="K86" i="4"/>
  <c r="M86" i="4" s="1"/>
  <c r="K87" i="4"/>
  <c r="M87" i="4" s="1"/>
  <c r="K88" i="4"/>
  <c r="M88" i="4" s="1"/>
  <c r="K89" i="4"/>
  <c r="M89" i="4" s="1"/>
  <c r="K90" i="4"/>
  <c r="M90" i="4" s="1"/>
  <c r="K91" i="4"/>
  <c r="M91" i="4" s="1"/>
  <c r="K92" i="4"/>
  <c r="M92" i="4" s="1"/>
  <c r="K93" i="4"/>
  <c r="M93" i="4" s="1"/>
  <c r="K94" i="4"/>
  <c r="M94" i="4" s="1"/>
  <c r="K95" i="4"/>
  <c r="M95" i="4" s="1"/>
  <c r="K96" i="4"/>
  <c r="M96" i="4" s="1"/>
  <c r="K97" i="4"/>
  <c r="M97" i="4" s="1"/>
  <c r="K98" i="4"/>
  <c r="M98" i="4" s="1"/>
  <c r="K99" i="4"/>
  <c r="M99" i="4" s="1"/>
  <c r="K100" i="4"/>
  <c r="M100" i="4" s="1"/>
  <c r="K101" i="4"/>
  <c r="M101" i="4" s="1"/>
  <c r="K102" i="4"/>
  <c r="M102" i="4" s="1"/>
  <c r="K103" i="4"/>
  <c r="M103" i="4" s="1"/>
  <c r="K104" i="4"/>
  <c r="M104" i="4" s="1"/>
  <c r="K105" i="4"/>
  <c r="M105" i="4" s="1"/>
  <c r="K106" i="4"/>
  <c r="M106" i="4" s="1"/>
  <c r="K107" i="4"/>
  <c r="M107" i="4" s="1"/>
  <c r="K108" i="4"/>
  <c r="M108" i="4" s="1"/>
  <c r="K109" i="4"/>
  <c r="M109" i="4" s="1"/>
  <c r="K110" i="4"/>
  <c r="M110" i="4" s="1"/>
  <c r="K111" i="4"/>
  <c r="M111" i="4" s="1"/>
  <c r="K112" i="4"/>
  <c r="M112" i="4" s="1"/>
  <c r="K113" i="4"/>
  <c r="M113" i="4" s="1"/>
  <c r="K114" i="4"/>
  <c r="M114" i="4" s="1"/>
  <c r="K115" i="4"/>
  <c r="M115" i="4" s="1"/>
  <c r="K116" i="4"/>
  <c r="M116" i="4" s="1"/>
  <c r="K117" i="4"/>
  <c r="M117" i="4" s="1"/>
  <c r="K118" i="4"/>
  <c r="M118" i="4" s="1"/>
  <c r="K119" i="4"/>
  <c r="M119" i="4" s="1"/>
  <c r="K120" i="4"/>
  <c r="M120" i="4" s="1"/>
  <c r="K121" i="4"/>
  <c r="M121" i="4" s="1"/>
  <c r="K122" i="4"/>
  <c r="M122" i="4" s="1"/>
  <c r="K123" i="4"/>
  <c r="M123" i="4" s="1"/>
  <c r="K124" i="4"/>
  <c r="M124" i="4" s="1"/>
  <c r="K125" i="4"/>
  <c r="M125" i="4" s="1"/>
  <c r="K126" i="4"/>
  <c r="M126" i="4" s="1"/>
  <c r="K127" i="4"/>
  <c r="M127" i="4" s="1"/>
  <c r="K128" i="4"/>
  <c r="M128" i="4" s="1"/>
  <c r="K129" i="4"/>
  <c r="M129" i="4" s="1"/>
  <c r="K130" i="4"/>
  <c r="M130" i="4" s="1"/>
  <c r="K131" i="4"/>
  <c r="M131" i="4" s="1"/>
  <c r="K132" i="4"/>
  <c r="M132" i="4" s="1"/>
  <c r="K133" i="4"/>
  <c r="M133" i="4" s="1"/>
  <c r="K134" i="4"/>
  <c r="M134" i="4" s="1"/>
  <c r="K135" i="4"/>
  <c r="M135" i="4" s="1"/>
  <c r="K136" i="4"/>
  <c r="M136" i="4" s="1"/>
  <c r="K137" i="4"/>
  <c r="M137" i="4" s="1"/>
  <c r="K138" i="4"/>
  <c r="M138" i="4" s="1"/>
  <c r="K139" i="4"/>
  <c r="M139" i="4" s="1"/>
  <c r="K140" i="4"/>
  <c r="M140" i="4" s="1"/>
  <c r="K141" i="4"/>
  <c r="M141" i="4" s="1"/>
  <c r="K142" i="4"/>
  <c r="M142" i="4" s="1"/>
  <c r="K143" i="4"/>
  <c r="M143" i="4" s="1"/>
  <c r="K144" i="4"/>
  <c r="M144" i="4" s="1"/>
  <c r="K145" i="4"/>
  <c r="M145" i="4" s="1"/>
  <c r="K146" i="4"/>
  <c r="M146" i="4" s="1"/>
  <c r="K147" i="4"/>
  <c r="M147" i="4" s="1"/>
  <c r="K148" i="4"/>
  <c r="M148" i="4" s="1"/>
  <c r="K149" i="4"/>
  <c r="M149" i="4" s="1"/>
  <c r="K150" i="4"/>
  <c r="M150" i="4" s="1"/>
  <c r="K151" i="4"/>
  <c r="M151" i="4" s="1"/>
  <c r="K152" i="4"/>
  <c r="M152" i="4" s="1"/>
  <c r="K153" i="4"/>
  <c r="M153" i="4" s="1"/>
  <c r="K154" i="4"/>
  <c r="M154" i="4" s="1"/>
  <c r="K155" i="4"/>
  <c r="M155" i="4" s="1"/>
  <c r="K156" i="4"/>
  <c r="M156" i="4" s="1"/>
  <c r="K157" i="4"/>
  <c r="M157" i="4" s="1"/>
  <c r="K158" i="4"/>
  <c r="M158" i="4" s="1"/>
  <c r="K159" i="4"/>
  <c r="M159" i="4" s="1"/>
  <c r="K160" i="4"/>
  <c r="M160" i="4" s="1"/>
  <c r="K161" i="4"/>
  <c r="M161" i="4" s="1"/>
  <c r="K162" i="4"/>
  <c r="M162" i="4" s="1"/>
  <c r="K163" i="4"/>
  <c r="M163" i="4" s="1"/>
  <c r="K164" i="4"/>
  <c r="M164" i="4" s="1"/>
  <c r="K165" i="4"/>
  <c r="M165" i="4" s="1"/>
  <c r="K166" i="4"/>
  <c r="M166" i="4" s="1"/>
  <c r="K167" i="4"/>
  <c r="M167" i="4" s="1"/>
  <c r="K168" i="4"/>
  <c r="M168" i="4" s="1"/>
  <c r="K169" i="4"/>
  <c r="M169" i="4" s="1"/>
  <c r="K170" i="4"/>
  <c r="M170" i="4" s="1"/>
  <c r="K171" i="4"/>
  <c r="M171" i="4" s="1"/>
  <c r="K172" i="4"/>
  <c r="M172" i="4" s="1"/>
  <c r="K173" i="4"/>
  <c r="M173" i="4" s="1"/>
  <c r="K174" i="4"/>
  <c r="M174" i="4" s="1"/>
  <c r="K175" i="4"/>
  <c r="M175" i="4" s="1"/>
  <c r="K176" i="4"/>
  <c r="M176" i="4" s="1"/>
  <c r="K177" i="4"/>
  <c r="M177" i="4" s="1"/>
  <c r="K178" i="4"/>
  <c r="M178" i="4" s="1"/>
  <c r="K179" i="4"/>
  <c r="M179" i="4" s="1"/>
  <c r="K180" i="4"/>
  <c r="M180" i="4" s="1"/>
  <c r="K181" i="4"/>
  <c r="M181" i="4" s="1"/>
  <c r="K182" i="4"/>
  <c r="M182" i="4" s="1"/>
  <c r="K183" i="4"/>
  <c r="M183" i="4" s="1"/>
  <c r="K184" i="4"/>
  <c r="M184" i="4" s="1"/>
  <c r="K185" i="4"/>
  <c r="M185" i="4" s="1"/>
  <c r="K186" i="4"/>
  <c r="M186" i="4" s="1"/>
  <c r="K187" i="4"/>
  <c r="M187" i="4" s="1"/>
  <c r="K188" i="4"/>
  <c r="M188" i="4" s="1"/>
  <c r="K189" i="4"/>
  <c r="M189" i="4" s="1"/>
  <c r="K190" i="4"/>
  <c r="M190" i="4" s="1"/>
  <c r="K191" i="4"/>
  <c r="M191" i="4" s="1"/>
  <c r="K192" i="4"/>
  <c r="M192" i="4" s="1"/>
  <c r="K193" i="4"/>
  <c r="M193" i="4" s="1"/>
  <c r="K194" i="4"/>
  <c r="M194" i="4" s="1"/>
  <c r="K195" i="4"/>
  <c r="M195" i="4" s="1"/>
  <c r="K196" i="4"/>
  <c r="M196" i="4" s="1"/>
  <c r="K197" i="4"/>
  <c r="M197" i="4" s="1"/>
  <c r="K198" i="4"/>
  <c r="M198" i="4" s="1"/>
  <c r="K199" i="4"/>
  <c r="M199" i="4" s="1"/>
  <c r="K200" i="4"/>
  <c r="M200" i="4" s="1"/>
  <c r="K201" i="4"/>
  <c r="M201" i="4" s="1"/>
  <c r="K202" i="4"/>
  <c r="M202" i="4" s="1"/>
  <c r="K203" i="4"/>
  <c r="M203" i="4" s="1"/>
  <c r="K204" i="4"/>
  <c r="M204" i="4" s="1"/>
  <c r="K205" i="4"/>
  <c r="M205" i="4" s="1"/>
  <c r="K206" i="4"/>
  <c r="M206" i="4" s="1"/>
  <c r="K207" i="4"/>
  <c r="M207" i="4" s="1"/>
  <c r="K208" i="4"/>
  <c r="M208" i="4" s="1"/>
  <c r="K209" i="4"/>
  <c r="M209" i="4" s="1"/>
  <c r="K210" i="4"/>
  <c r="M210" i="4" s="1"/>
  <c r="K211" i="4"/>
  <c r="M211" i="4" s="1"/>
  <c r="K212" i="4"/>
  <c r="M212" i="4" s="1"/>
  <c r="K213" i="4"/>
  <c r="M213" i="4" s="1"/>
  <c r="K214" i="4"/>
  <c r="M214" i="4" s="1"/>
  <c r="K215" i="4"/>
  <c r="M215" i="4" s="1"/>
  <c r="K216" i="4"/>
  <c r="M216" i="4" s="1"/>
  <c r="K217" i="4"/>
  <c r="M217" i="4" s="1"/>
  <c r="K218" i="4"/>
  <c r="M218" i="4" s="1"/>
  <c r="K219" i="4"/>
  <c r="M219" i="4" s="1"/>
  <c r="K220" i="4"/>
  <c r="M220" i="4" s="1"/>
  <c r="K221" i="4"/>
  <c r="M221" i="4" s="1"/>
  <c r="K222" i="4"/>
  <c r="M222" i="4" s="1"/>
  <c r="K223" i="4"/>
  <c r="M223" i="4" s="1"/>
  <c r="K224" i="4"/>
  <c r="M224" i="4" s="1"/>
  <c r="K225" i="4"/>
  <c r="M225" i="4" s="1"/>
  <c r="K226" i="4"/>
  <c r="M226" i="4" s="1"/>
  <c r="K227" i="4"/>
  <c r="M227" i="4" s="1"/>
  <c r="K228" i="4"/>
  <c r="M228" i="4" s="1"/>
  <c r="K229" i="4"/>
  <c r="M229" i="4" s="1"/>
  <c r="K230" i="4"/>
  <c r="M230" i="4" s="1"/>
  <c r="K231" i="4"/>
  <c r="M231" i="4" s="1"/>
  <c r="K232" i="4"/>
  <c r="M232" i="4" s="1"/>
  <c r="K233" i="4"/>
  <c r="M233" i="4" s="1"/>
  <c r="K234" i="4"/>
  <c r="M234" i="4" s="1"/>
  <c r="K235" i="4"/>
  <c r="M235" i="4" s="1"/>
  <c r="K236" i="4"/>
  <c r="M236" i="4" s="1"/>
  <c r="K237" i="4"/>
  <c r="M237" i="4" s="1"/>
  <c r="K238" i="4"/>
  <c r="M238" i="4" s="1"/>
  <c r="K239" i="4"/>
  <c r="M239" i="4" s="1"/>
  <c r="K240" i="4"/>
  <c r="M240" i="4" s="1"/>
  <c r="K241" i="4"/>
  <c r="M241" i="4" s="1"/>
  <c r="K242" i="4"/>
  <c r="M242" i="4" s="1"/>
  <c r="K243" i="4"/>
  <c r="M243" i="4" s="1"/>
  <c r="K244" i="4"/>
  <c r="M244" i="4" s="1"/>
  <c r="K245" i="4"/>
  <c r="M245" i="4" s="1"/>
  <c r="K246" i="4"/>
  <c r="M246" i="4" s="1"/>
  <c r="K247" i="4"/>
  <c r="M247" i="4" s="1"/>
  <c r="K248" i="4"/>
  <c r="M248" i="4" s="1"/>
  <c r="K249" i="4"/>
  <c r="M249" i="4" s="1"/>
  <c r="K250" i="4"/>
  <c r="M250" i="4" s="1"/>
  <c r="K251" i="4"/>
  <c r="M251" i="4" s="1"/>
  <c r="K252" i="4"/>
  <c r="M252" i="4" s="1"/>
  <c r="K253" i="4"/>
  <c r="M253" i="4" s="1"/>
  <c r="K254" i="4"/>
  <c r="M254" i="4" s="1"/>
  <c r="K255" i="4"/>
  <c r="M255" i="4" s="1"/>
  <c r="K256" i="4"/>
  <c r="M256" i="4" s="1"/>
  <c r="K257" i="4"/>
  <c r="M257" i="4" s="1"/>
  <c r="K258" i="4"/>
  <c r="M258" i="4" s="1"/>
  <c r="K259" i="4"/>
  <c r="M259" i="4" s="1"/>
  <c r="K260" i="4"/>
  <c r="M260" i="4" s="1"/>
  <c r="K261" i="4"/>
  <c r="M261" i="4" s="1"/>
  <c r="K262" i="4"/>
  <c r="M262" i="4" s="1"/>
  <c r="K263" i="4"/>
  <c r="M263" i="4" s="1"/>
  <c r="K264" i="4"/>
  <c r="M264" i="4" s="1"/>
  <c r="K265" i="4"/>
  <c r="M265" i="4" s="1"/>
  <c r="K266" i="4"/>
  <c r="M266" i="4" s="1"/>
  <c r="K267" i="4"/>
  <c r="M267" i="4" s="1"/>
  <c r="K268" i="4"/>
  <c r="M268" i="4" s="1"/>
  <c r="K269" i="4"/>
  <c r="M269" i="4" s="1"/>
  <c r="K270" i="4"/>
  <c r="M270" i="4" s="1"/>
  <c r="K271" i="4"/>
  <c r="M271" i="4" s="1"/>
  <c r="K272" i="4"/>
  <c r="M272" i="4" s="1"/>
  <c r="K273" i="4"/>
  <c r="M273" i="4" s="1"/>
  <c r="K274" i="4"/>
  <c r="M274" i="4" s="1"/>
  <c r="K275" i="4"/>
  <c r="M275" i="4" s="1"/>
  <c r="K276" i="4"/>
  <c r="M276" i="4" s="1"/>
  <c r="K277" i="4"/>
  <c r="M277" i="4" s="1"/>
  <c r="K278" i="4"/>
  <c r="M278" i="4" s="1"/>
  <c r="K279" i="4"/>
  <c r="M279" i="4" s="1"/>
  <c r="K280" i="4"/>
  <c r="M280" i="4" s="1"/>
  <c r="K281" i="4"/>
  <c r="M281" i="4" s="1"/>
  <c r="K282" i="4"/>
  <c r="M282" i="4" s="1"/>
  <c r="K283" i="4"/>
  <c r="M283" i="4" s="1"/>
  <c r="K284" i="4"/>
  <c r="M284" i="4" s="1"/>
  <c r="K285" i="4"/>
  <c r="M285" i="4" s="1"/>
  <c r="K286" i="4"/>
  <c r="M286" i="4" s="1"/>
  <c r="K287" i="4"/>
  <c r="M287" i="4" s="1"/>
  <c r="K288" i="4"/>
  <c r="M288" i="4" s="1"/>
  <c r="K289" i="4"/>
  <c r="M289" i="4" s="1"/>
  <c r="K290" i="4"/>
  <c r="M290" i="4" s="1"/>
  <c r="K291" i="4"/>
  <c r="M291" i="4" s="1"/>
  <c r="K292" i="4"/>
  <c r="M292" i="4" s="1"/>
  <c r="K293" i="4"/>
  <c r="M293" i="4" s="1"/>
  <c r="K294" i="4"/>
  <c r="M294" i="4" s="1"/>
  <c r="K295" i="4"/>
  <c r="M295" i="4" s="1"/>
  <c r="K296" i="4"/>
  <c r="M296" i="4" s="1"/>
  <c r="K297" i="4"/>
  <c r="M297" i="4" s="1"/>
  <c r="K298" i="4"/>
  <c r="M298" i="4" s="1"/>
  <c r="K299" i="4"/>
  <c r="M299" i="4" s="1"/>
  <c r="K300" i="4"/>
  <c r="M300" i="4" s="1"/>
  <c r="K301" i="4"/>
  <c r="M301" i="4" s="1"/>
  <c r="K302" i="4"/>
  <c r="M302" i="4" s="1"/>
  <c r="K303" i="4"/>
  <c r="M303" i="4" s="1"/>
  <c r="K304" i="4"/>
  <c r="M304" i="4" s="1"/>
  <c r="K305" i="4"/>
  <c r="M305" i="4" s="1"/>
  <c r="K306" i="4"/>
  <c r="M306" i="4" s="1"/>
  <c r="K307" i="4"/>
  <c r="M307" i="4" s="1"/>
  <c r="K308" i="4"/>
  <c r="M308" i="4" s="1"/>
  <c r="K309" i="4"/>
  <c r="M309" i="4" s="1"/>
  <c r="K310" i="4"/>
  <c r="M310" i="4" s="1"/>
  <c r="K311" i="4"/>
  <c r="M311" i="4" s="1"/>
  <c r="K312" i="4"/>
  <c r="M312" i="4" s="1"/>
  <c r="K313" i="4"/>
  <c r="M313" i="4" s="1"/>
  <c r="K314" i="4"/>
  <c r="M314" i="4" s="1"/>
  <c r="K315" i="4"/>
  <c r="M315" i="4" s="1"/>
  <c r="K316" i="4"/>
  <c r="M316" i="4" s="1"/>
  <c r="K317" i="4"/>
  <c r="M317" i="4" s="1"/>
  <c r="K318" i="4"/>
  <c r="M318" i="4" s="1"/>
  <c r="K319" i="4"/>
  <c r="M319" i="4" s="1"/>
  <c r="K320" i="4"/>
  <c r="M320" i="4" s="1"/>
  <c r="K321" i="4"/>
  <c r="M321" i="4" s="1"/>
  <c r="K322" i="4"/>
  <c r="M322" i="4" s="1"/>
  <c r="K323" i="4"/>
  <c r="M323" i="4" s="1"/>
  <c r="K324" i="4"/>
  <c r="M324" i="4" s="1"/>
  <c r="K325" i="4"/>
  <c r="M325" i="4" s="1"/>
  <c r="K326" i="4"/>
  <c r="M326" i="4" s="1"/>
  <c r="K327" i="4"/>
  <c r="M327" i="4" s="1"/>
  <c r="K328" i="4"/>
  <c r="M328" i="4" s="1"/>
  <c r="K329" i="4"/>
  <c r="M329" i="4" s="1"/>
  <c r="K330" i="4"/>
  <c r="M330" i="4" s="1"/>
  <c r="K331" i="4"/>
  <c r="M331" i="4" s="1"/>
  <c r="K332" i="4"/>
  <c r="M332" i="4" s="1"/>
  <c r="K333" i="4"/>
  <c r="M333" i="4" s="1"/>
  <c r="K334" i="4"/>
  <c r="M334" i="4" s="1"/>
  <c r="K335" i="4"/>
  <c r="M335" i="4" s="1"/>
  <c r="K336" i="4"/>
  <c r="M336" i="4" s="1"/>
  <c r="K337" i="4"/>
  <c r="M337" i="4" s="1"/>
  <c r="K338" i="4"/>
  <c r="M338" i="4" s="1"/>
  <c r="K339" i="4"/>
  <c r="M339" i="4" s="1"/>
  <c r="K340" i="4"/>
  <c r="M340" i="4" s="1"/>
  <c r="K341" i="4"/>
  <c r="M341" i="4" s="1"/>
  <c r="K342" i="4"/>
  <c r="M342" i="4" s="1"/>
  <c r="K343" i="4"/>
  <c r="M343" i="4" s="1"/>
  <c r="K344" i="4"/>
  <c r="M344" i="4" s="1"/>
  <c r="K345" i="4"/>
  <c r="M345" i="4" s="1"/>
  <c r="K346" i="4"/>
  <c r="M346" i="4" s="1"/>
  <c r="K347" i="4"/>
  <c r="M347" i="4" s="1"/>
  <c r="K348" i="4"/>
  <c r="M348" i="4" s="1"/>
  <c r="K349" i="4"/>
  <c r="M349" i="4" s="1"/>
  <c r="K350" i="4"/>
  <c r="M350" i="4" s="1"/>
  <c r="K351" i="4"/>
  <c r="M351" i="4" s="1"/>
  <c r="K352" i="4"/>
  <c r="M352" i="4" s="1"/>
  <c r="K353" i="4"/>
  <c r="M353" i="4" s="1"/>
  <c r="K354" i="4"/>
  <c r="M354" i="4" s="1"/>
  <c r="K355" i="4"/>
  <c r="M355" i="4" s="1"/>
  <c r="K356" i="4"/>
  <c r="M356" i="4" s="1"/>
  <c r="K357" i="4"/>
  <c r="M357" i="4" s="1"/>
  <c r="K358" i="4"/>
  <c r="M358" i="4" s="1"/>
  <c r="K359" i="4"/>
  <c r="M359" i="4" s="1"/>
  <c r="K360" i="4"/>
  <c r="M360" i="4" s="1"/>
  <c r="K361" i="4"/>
  <c r="M361" i="4" s="1"/>
  <c r="K362" i="4"/>
  <c r="M362" i="4" s="1"/>
  <c r="K363" i="4"/>
  <c r="M363" i="4" s="1"/>
  <c r="K364" i="4"/>
  <c r="M364" i="4" s="1"/>
  <c r="K365" i="4"/>
  <c r="M365" i="4" s="1"/>
  <c r="K366" i="4"/>
  <c r="M366" i="4" s="1"/>
  <c r="K367" i="4"/>
  <c r="M367" i="4" s="1"/>
  <c r="K368" i="4"/>
  <c r="M368" i="4" s="1"/>
  <c r="K369" i="4"/>
  <c r="M369" i="4" s="1"/>
  <c r="K370" i="4"/>
  <c r="M370" i="4" s="1"/>
  <c r="K371" i="4"/>
  <c r="M371" i="4" s="1"/>
  <c r="K372" i="4"/>
  <c r="M372" i="4" s="1"/>
  <c r="K373" i="4"/>
  <c r="M373" i="4" s="1"/>
  <c r="K374" i="4"/>
  <c r="M374" i="4" s="1"/>
  <c r="K375" i="4"/>
  <c r="M375" i="4" s="1"/>
  <c r="K376" i="4"/>
  <c r="M376" i="4" s="1"/>
  <c r="K377" i="4"/>
  <c r="M377" i="4" s="1"/>
  <c r="K378" i="4"/>
  <c r="M378" i="4" s="1"/>
  <c r="K379" i="4"/>
  <c r="M379" i="4" s="1"/>
  <c r="K380" i="4"/>
  <c r="M380" i="4" s="1"/>
  <c r="K381" i="4"/>
  <c r="M381" i="4" s="1"/>
  <c r="K382" i="4"/>
  <c r="M382" i="4" s="1"/>
  <c r="K383" i="4"/>
  <c r="M383" i="4" s="1"/>
  <c r="K384" i="4"/>
  <c r="M384" i="4" s="1"/>
  <c r="K385" i="4"/>
  <c r="M385" i="4" s="1"/>
  <c r="K386" i="4"/>
  <c r="M386" i="4" s="1"/>
  <c r="K387" i="4"/>
  <c r="M387" i="4" s="1"/>
  <c r="K388" i="4"/>
  <c r="M388" i="4" s="1"/>
  <c r="K389" i="4"/>
  <c r="M389" i="4" s="1"/>
  <c r="K390" i="4"/>
  <c r="M390" i="4" s="1"/>
  <c r="K391" i="4"/>
  <c r="M391" i="4" s="1"/>
  <c r="K392" i="4"/>
  <c r="M392" i="4" s="1"/>
  <c r="K393" i="4"/>
  <c r="M393" i="4" s="1"/>
  <c r="K394" i="4"/>
  <c r="M394" i="4" s="1"/>
  <c r="K395" i="4"/>
  <c r="M395" i="4" s="1"/>
  <c r="K396" i="4"/>
  <c r="M396" i="4" s="1"/>
  <c r="K397" i="4"/>
  <c r="M397" i="4" s="1"/>
  <c r="K398" i="4"/>
  <c r="M398" i="4" s="1"/>
  <c r="K399" i="4"/>
  <c r="M399" i="4" s="1"/>
  <c r="K400" i="4"/>
  <c r="M400" i="4" s="1"/>
  <c r="K401" i="4"/>
  <c r="M401" i="4" s="1"/>
  <c r="K402" i="4"/>
  <c r="M402" i="4" s="1"/>
  <c r="K403" i="4"/>
  <c r="M403" i="4" s="1"/>
  <c r="K404" i="4"/>
  <c r="M404" i="4" s="1"/>
  <c r="K405" i="4"/>
  <c r="M405" i="4" s="1"/>
  <c r="K406" i="4"/>
  <c r="M406" i="4" s="1"/>
  <c r="K407" i="4"/>
  <c r="M407" i="4" s="1"/>
  <c r="K408" i="4"/>
  <c r="M408" i="4" s="1"/>
  <c r="K409" i="4"/>
  <c r="M409" i="4" s="1"/>
  <c r="K410" i="4"/>
  <c r="M410" i="4" s="1"/>
  <c r="K411" i="4"/>
  <c r="M411" i="4" s="1"/>
  <c r="K412" i="4"/>
  <c r="M412" i="4" s="1"/>
  <c r="K413" i="4"/>
  <c r="M413" i="4" s="1"/>
  <c r="K414" i="4"/>
  <c r="M414" i="4" s="1"/>
  <c r="K415" i="4"/>
  <c r="M415" i="4" s="1"/>
  <c r="K416" i="4"/>
  <c r="M416" i="4" s="1"/>
  <c r="K417" i="4"/>
  <c r="M417" i="4" s="1"/>
  <c r="K418" i="4"/>
  <c r="M418" i="4" s="1"/>
  <c r="K419" i="4"/>
  <c r="M419" i="4" s="1"/>
  <c r="K420" i="4"/>
  <c r="M420" i="4" s="1"/>
  <c r="K421" i="4"/>
  <c r="M421" i="4" s="1"/>
  <c r="K422" i="4"/>
  <c r="M422" i="4" s="1"/>
  <c r="K423" i="4"/>
  <c r="M423" i="4" s="1"/>
  <c r="K424" i="4"/>
  <c r="M424" i="4" s="1"/>
  <c r="K425" i="4"/>
  <c r="M425" i="4" s="1"/>
  <c r="K426" i="4"/>
  <c r="M426" i="4" s="1"/>
  <c r="K427" i="4"/>
  <c r="M427" i="4" s="1"/>
  <c r="K428" i="4"/>
  <c r="M428" i="4" s="1"/>
  <c r="K429" i="4"/>
  <c r="M429" i="4" s="1"/>
  <c r="K430" i="4"/>
  <c r="M430" i="4" s="1"/>
  <c r="K431" i="4"/>
  <c r="M431" i="4" s="1"/>
  <c r="K432" i="4"/>
  <c r="M432" i="4" s="1"/>
  <c r="K433" i="4"/>
  <c r="M433" i="4" s="1"/>
  <c r="K434" i="4"/>
  <c r="M434" i="4" s="1"/>
  <c r="K435" i="4"/>
  <c r="M435" i="4" s="1"/>
  <c r="K436" i="4"/>
  <c r="M436" i="4" s="1"/>
  <c r="K437" i="4"/>
  <c r="M437" i="4" s="1"/>
  <c r="K438" i="4"/>
  <c r="M438" i="4" s="1"/>
  <c r="K439" i="4"/>
  <c r="M439" i="4" s="1"/>
  <c r="K440" i="4"/>
  <c r="M440" i="4" s="1"/>
  <c r="K441" i="4"/>
  <c r="M441" i="4" s="1"/>
  <c r="K442" i="4"/>
  <c r="M442" i="4" s="1"/>
  <c r="K443" i="4"/>
  <c r="M443" i="4" s="1"/>
  <c r="K444" i="4"/>
  <c r="M444" i="4" s="1"/>
  <c r="K445" i="4"/>
  <c r="M445" i="4" s="1"/>
  <c r="K446" i="4"/>
  <c r="M446" i="4" s="1"/>
  <c r="K447" i="4"/>
  <c r="M447" i="4" s="1"/>
  <c r="K448" i="4"/>
  <c r="M448" i="4" s="1"/>
  <c r="K449" i="4"/>
  <c r="M449" i="4" s="1"/>
  <c r="K450" i="4"/>
  <c r="M450" i="4" s="1"/>
  <c r="K451" i="4"/>
  <c r="M451" i="4" s="1"/>
  <c r="K452" i="4"/>
  <c r="M452" i="4" s="1"/>
  <c r="K453" i="4"/>
  <c r="M453" i="4" s="1"/>
  <c r="K454" i="4"/>
  <c r="M454" i="4" s="1"/>
  <c r="K455" i="4"/>
  <c r="M455" i="4" s="1"/>
  <c r="K456" i="4"/>
  <c r="M456" i="4" s="1"/>
  <c r="K457" i="4"/>
  <c r="M457" i="4" s="1"/>
  <c r="K458" i="4"/>
  <c r="M458" i="4" s="1"/>
  <c r="K459" i="4"/>
  <c r="M459" i="4" s="1"/>
  <c r="K460" i="4"/>
  <c r="M460" i="4" s="1"/>
  <c r="K461" i="4"/>
  <c r="M461" i="4" s="1"/>
  <c r="K462" i="4"/>
  <c r="M462" i="4" s="1"/>
  <c r="K463" i="4"/>
  <c r="M463" i="4" s="1"/>
  <c r="K464" i="4"/>
  <c r="M464" i="4" s="1"/>
  <c r="K465" i="4"/>
  <c r="M465" i="4" s="1"/>
  <c r="K466" i="4"/>
  <c r="M466" i="4" s="1"/>
  <c r="K467" i="4"/>
  <c r="M467" i="4" s="1"/>
  <c r="K468" i="4"/>
  <c r="M468" i="4" s="1"/>
  <c r="K469" i="4"/>
  <c r="M469" i="4" s="1"/>
  <c r="K470" i="4"/>
  <c r="M470" i="4" s="1"/>
  <c r="K471" i="4"/>
  <c r="M471" i="4" s="1"/>
  <c r="K472" i="4"/>
  <c r="M472" i="4" s="1"/>
  <c r="K473" i="4"/>
  <c r="M473" i="4" s="1"/>
  <c r="K474" i="4"/>
  <c r="M474" i="4" s="1"/>
  <c r="K475" i="4"/>
  <c r="M475" i="4" s="1"/>
  <c r="K476" i="4"/>
  <c r="M476" i="4" s="1"/>
  <c r="K477" i="4"/>
  <c r="M477" i="4" s="1"/>
  <c r="K478" i="4"/>
  <c r="M478" i="4" s="1"/>
  <c r="K479" i="4"/>
  <c r="M479" i="4" s="1"/>
  <c r="K480" i="4"/>
  <c r="M480" i="4" s="1"/>
  <c r="K481" i="4"/>
  <c r="M481" i="4" s="1"/>
  <c r="K482" i="4"/>
  <c r="M482" i="4" s="1"/>
  <c r="K483" i="4"/>
  <c r="M483" i="4" s="1"/>
  <c r="K484" i="4"/>
  <c r="M484" i="4" s="1"/>
  <c r="K485" i="4"/>
  <c r="M485" i="4" s="1"/>
  <c r="K486" i="4"/>
  <c r="M486" i="4" s="1"/>
  <c r="K487" i="4"/>
  <c r="M487" i="4" s="1"/>
  <c r="K488" i="4"/>
  <c r="M488" i="4" s="1"/>
  <c r="K489" i="4"/>
  <c r="M489" i="4" s="1"/>
  <c r="K490" i="4"/>
  <c r="M490" i="4" s="1"/>
  <c r="K491" i="4"/>
  <c r="M491" i="4" s="1"/>
  <c r="K492" i="4"/>
  <c r="M492" i="4" s="1"/>
  <c r="K493" i="4"/>
  <c r="M493" i="4" s="1"/>
  <c r="K494" i="4"/>
  <c r="M494" i="4" s="1"/>
  <c r="K495" i="4"/>
  <c r="M495" i="4" s="1"/>
  <c r="K496" i="4"/>
  <c r="M496" i="4" s="1"/>
  <c r="K497" i="4"/>
  <c r="M497" i="4" s="1"/>
  <c r="K498" i="4"/>
  <c r="M498" i="4" s="1"/>
  <c r="K499" i="4"/>
  <c r="M499" i="4" s="1"/>
  <c r="K500" i="4"/>
  <c r="M500" i="4" s="1"/>
  <c r="K501" i="4"/>
  <c r="M501" i="4" s="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L2" i="4"/>
  <c r="N2" i="4" s="1"/>
  <c r="N506" i="4" s="1"/>
  <c r="K2" i="4"/>
  <c r="M2" i="4" s="1"/>
  <c r="J2"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H2" i="4"/>
  <c r="G2" i="4"/>
  <c r="F2" i="4"/>
  <c r="O480" i="4" l="1"/>
  <c r="N508" i="4"/>
  <c r="Q42" i="4" s="1"/>
  <c r="N509" i="4"/>
  <c r="O2" i="4"/>
  <c r="O499" i="4"/>
  <c r="P499" i="4" s="1"/>
  <c r="O495" i="4"/>
  <c r="P495" i="4" s="1"/>
  <c r="O491" i="4"/>
  <c r="P491" i="4" s="1"/>
  <c r="O487" i="4"/>
  <c r="P487" i="4" s="1"/>
  <c r="O483" i="4"/>
  <c r="P483" i="4" s="1"/>
  <c r="O479" i="4"/>
  <c r="P479" i="4" s="1"/>
  <c r="O475" i="4"/>
  <c r="P475" i="4" s="1"/>
  <c r="O471" i="4"/>
  <c r="P471" i="4" s="1"/>
  <c r="O467" i="4"/>
  <c r="P467" i="4" s="1"/>
  <c r="O463" i="4"/>
  <c r="P463" i="4" s="1"/>
  <c r="O459" i="4"/>
  <c r="P459" i="4" s="1"/>
  <c r="O455" i="4"/>
  <c r="P455" i="4" s="1"/>
  <c r="O451" i="4"/>
  <c r="P451" i="4" s="1"/>
  <c r="O447" i="4"/>
  <c r="P447" i="4" s="1"/>
  <c r="O443" i="4"/>
  <c r="P443" i="4" s="1"/>
  <c r="O439" i="4"/>
  <c r="P439" i="4" s="1"/>
  <c r="O435" i="4"/>
  <c r="P435" i="4" s="1"/>
  <c r="O431" i="4"/>
  <c r="P431" i="4" s="1"/>
  <c r="O427" i="4"/>
  <c r="P427" i="4" s="1"/>
  <c r="O423" i="4"/>
  <c r="P423" i="4" s="1"/>
  <c r="O419" i="4"/>
  <c r="P419" i="4" s="1"/>
  <c r="O415" i="4"/>
  <c r="P415" i="4" s="1"/>
  <c r="O411" i="4"/>
  <c r="P411" i="4" s="1"/>
  <c r="O407" i="4"/>
  <c r="P407" i="4" s="1"/>
  <c r="O403" i="4"/>
  <c r="P403" i="4" s="1"/>
  <c r="O399" i="4"/>
  <c r="P399" i="4" s="1"/>
  <c r="O395" i="4"/>
  <c r="P395" i="4" s="1"/>
  <c r="O391" i="4"/>
  <c r="P391" i="4" s="1"/>
  <c r="O387" i="4"/>
  <c r="P387" i="4" s="1"/>
  <c r="O383" i="4"/>
  <c r="P383" i="4" s="1"/>
  <c r="O379" i="4"/>
  <c r="P379" i="4" s="1"/>
  <c r="O375" i="4"/>
  <c r="P375" i="4" s="1"/>
  <c r="O371" i="4"/>
  <c r="P371" i="4" s="1"/>
  <c r="O367" i="4"/>
  <c r="P367" i="4" s="1"/>
  <c r="O363" i="4"/>
  <c r="P363" i="4" s="1"/>
  <c r="O359" i="4"/>
  <c r="P359" i="4" s="1"/>
  <c r="O355" i="4"/>
  <c r="P355" i="4" s="1"/>
  <c r="O351" i="4"/>
  <c r="P351" i="4" s="1"/>
  <c r="O347" i="4"/>
  <c r="P347" i="4" s="1"/>
  <c r="O343" i="4"/>
  <c r="P343" i="4" s="1"/>
  <c r="O339" i="4"/>
  <c r="P339" i="4" s="1"/>
  <c r="O335" i="4"/>
  <c r="P335" i="4" s="1"/>
  <c r="O331" i="4"/>
  <c r="P331" i="4" s="1"/>
  <c r="O327" i="4"/>
  <c r="P327" i="4" s="1"/>
  <c r="O323" i="4"/>
  <c r="P323" i="4" s="1"/>
  <c r="O319" i="4"/>
  <c r="P319" i="4" s="1"/>
  <c r="O315" i="4"/>
  <c r="P315" i="4" s="1"/>
  <c r="O311" i="4"/>
  <c r="P311" i="4" s="1"/>
  <c r="O307" i="4"/>
  <c r="P307" i="4" s="1"/>
  <c r="O303" i="4"/>
  <c r="P303" i="4" s="1"/>
  <c r="O299" i="4"/>
  <c r="P299" i="4" s="1"/>
  <c r="O295" i="4"/>
  <c r="P295" i="4" s="1"/>
  <c r="O291" i="4"/>
  <c r="P291" i="4" s="1"/>
  <c r="O287" i="4"/>
  <c r="P287" i="4" s="1"/>
  <c r="O283" i="4"/>
  <c r="P283" i="4" s="1"/>
  <c r="O279" i="4"/>
  <c r="P279" i="4" s="1"/>
  <c r="O275" i="4"/>
  <c r="P275" i="4" s="1"/>
  <c r="O271" i="4"/>
  <c r="P271" i="4" s="1"/>
  <c r="O267" i="4"/>
  <c r="P267" i="4" s="1"/>
  <c r="O263" i="4"/>
  <c r="P263" i="4" s="1"/>
  <c r="O259" i="4"/>
  <c r="P259" i="4" s="1"/>
  <c r="O255" i="4"/>
  <c r="P255" i="4" s="1"/>
  <c r="O251" i="4"/>
  <c r="P251" i="4" s="1"/>
  <c r="O247" i="4"/>
  <c r="P247" i="4" s="1"/>
  <c r="O243" i="4"/>
  <c r="P243" i="4" s="1"/>
  <c r="O239" i="4"/>
  <c r="P239" i="4" s="1"/>
  <c r="O235" i="4"/>
  <c r="P235" i="4" s="1"/>
  <c r="O231" i="4"/>
  <c r="P231" i="4" s="1"/>
  <c r="O227" i="4"/>
  <c r="P227" i="4" s="1"/>
  <c r="O223" i="4"/>
  <c r="P223" i="4" s="1"/>
  <c r="O219" i="4"/>
  <c r="P219" i="4" s="1"/>
  <c r="O215" i="4"/>
  <c r="P215" i="4" s="1"/>
  <c r="O211" i="4"/>
  <c r="P211" i="4" s="1"/>
  <c r="O207" i="4"/>
  <c r="P207" i="4" s="1"/>
  <c r="O203" i="4"/>
  <c r="P203" i="4" s="1"/>
  <c r="O199" i="4"/>
  <c r="P199" i="4" s="1"/>
  <c r="O195" i="4"/>
  <c r="P195" i="4" s="1"/>
  <c r="O191" i="4"/>
  <c r="P191" i="4" s="1"/>
  <c r="O187" i="4"/>
  <c r="P187" i="4" s="1"/>
  <c r="O183" i="4"/>
  <c r="P183" i="4" s="1"/>
  <c r="O179" i="4"/>
  <c r="P179" i="4" s="1"/>
  <c r="O175" i="4"/>
  <c r="P175" i="4" s="1"/>
  <c r="O171" i="4"/>
  <c r="P171" i="4" s="1"/>
  <c r="O167" i="4"/>
  <c r="P167" i="4" s="1"/>
  <c r="O163" i="4"/>
  <c r="P163" i="4" s="1"/>
  <c r="O159" i="4"/>
  <c r="P159" i="4" s="1"/>
  <c r="O155" i="4"/>
  <c r="P155" i="4" s="1"/>
  <c r="O151" i="4"/>
  <c r="P151" i="4" s="1"/>
  <c r="O147" i="4"/>
  <c r="P147" i="4" s="1"/>
  <c r="O143" i="4"/>
  <c r="P143" i="4" s="1"/>
  <c r="O139" i="4"/>
  <c r="P139" i="4" s="1"/>
  <c r="O135" i="4"/>
  <c r="P135" i="4" s="1"/>
  <c r="O131" i="4"/>
  <c r="P131" i="4" s="1"/>
  <c r="O127" i="4"/>
  <c r="P127" i="4" s="1"/>
  <c r="O123" i="4"/>
  <c r="P123" i="4" s="1"/>
  <c r="O119" i="4"/>
  <c r="P119" i="4" s="1"/>
  <c r="O115" i="4"/>
  <c r="P115" i="4" s="1"/>
  <c r="O111" i="4"/>
  <c r="P111" i="4" s="1"/>
  <c r="O107" i="4"/>
  <c r="P107" i="4" s="1"/>
  <c r="O103" i="4"/>
  <c r="P103" i="4" s="1"/>
  <c r="O99" i="4"/>
  <c r="P99" i="4" s="1"/>
  <c r="O95" i="4"/>
  <c r="P95" i="4" s="1"/>
  <c r="O91" i="4"/>
  <c r="P91" i="4" s="1"/>
  <c r="O87" i="4"/>
  <c r="P87" i="4" s="1"/>
  <c r="O83" i="4"/>
  <c r="P83" i="4" s="1"/>
  <c r="O79" i="4"/>
  <c r="P79" i="4" s="1"/>
  <c r="O75" i="4"/>
  <c r="P75" i="4" s="1"/>
  <c r="O71" i="4"/>
  <c r="P71" i="4" s="1"/>
  <c r="O67" i="4"/>
  <c r="P67" i="4" s="1"/>
  <c r="O63" i="4"/>
  <c r="P63" i="4" s="1"/>
  <c r="O59" i="4"/>
  <c r="P59" i="4" s="1"/>
  <c r="O55" i="4"/>
  <c r="P55" i="4" s="1"/>
  <c r="O51" i="4"/>
  <c r="P51" i="4" s="1"/>
  <c r="O47" i="4"/>
  <c r="P47" i="4" s="1"/>
  <c r="O43" i="4"/>
  <c r="P43" i="4" s="1"/>
  <c r="O39" i="4"/>
  <c r="P39" i="4" s="1"/>
  <c r="O35" i="4"/>
  <c r="P35" i="4" s="1"/>
  <c r="O31" i="4"/>
  <c r="P31" i="4" s="1"/>
  <c r="O27" i="4"/>
  <c r="P27" i="4" s="1"/>
  <c r="O23" i="4"/>
  <c r="P23" i="4" s="1"/>
  <c r="O19" i="4"/>
  <c r="P19" i="4" s="1"/>
  <c r="O15" i="4"/>
  <c r="P15" i="4" s="1"/>
  <c r="O11" i="4"/>
  <c r="P11" i="4" s="1"/>
  <c r="O7" i="4"/>
  <c r="P7" i="4" s="1"/>
  <c r="O3" i="4"/>
  <c r="P3" i="4" s="1"/>
  <c r="O500" i="4"/>
  <c r="P500" i="4" s="1"/>
  <c r="O496" i="4"/>
  <c r="P496" i="4" s="1"/>
  <c r="O492" i="4"/>
  <c r="P492" i="4" s="1"/>
  <c r="O488" i="4"/>
  <c r="P488" i="4" s="1"/>
  <c r="O484" i="4"/>
  <c r="P484" i="4" s="1"/>
  <c r="P480" i="4"/>
  <c r="O476" i="4"/>
  <c r="P476" i="4" s="1"/>
  <c r="O472" i="4"/>
  <c r="P472" i="4" s="1"/>
  <c r="O468" i="4"/>
  <c r="P468" i="4" s="1"/>
  <c r="O464" i="4"/>
  <c r="P464" i="4" s="1"/>
  <c r="O460" i="4"/>
  <c r="P460" i="4" s="1"/>
  <c r="O456" i="4"/>
  <c r="P456" i="4" s="1"/>
  <c r="O452" i="4"/>
  <c r="P452" i="4" s="1"/>
  <c r="O448" i="4"/>
  <c r="P448" i="4" s="1"/>
  <c r="O444" i="4"/>
  <c r="P444" i="4" s="1"/>
  <c r="O440" i="4"/>
  <c r="P440" i="4" s="1"/>
  <c r="O436" i="4"/>
  <c r="P436" i="4" s="1"/>
  <c r="O432" i="4"/>
  <c r="P432" i="4" s="1"/>
  <c r="O428" i="4"/>
  <c r="P428" i="4" s="1"/>
  <c r="O424" i="4"/>
  <c r="P424" i="4" s="1"/>
  <c r="O420" i="4"/>
  <c r="P420" i="4" s="1"/>
  <c r="O416" i="4"/>
  <c r="P416" i="4" s="1"/>
  <c r="O412" i="4"/>
  <c r="P412" i="4" s="1"/>
  <c r="O408" i="4"/>
  <c r="P408" i="4" s="1"/>
  <c r="O404" i="4"/>
  <c r="P404" i="4" s="1"/>
  <c r="O400" i="4"/>
  <c r="P400" i="4" s="1"/>
  <c r="O396" i="4"/>
  <c r="P396" i="4" s="1"/>
  <c r="O392" i="4"/>
  <c r="P392" i="4" s="1"/>
  <c r="O388" i="4"/>
  <c r="P388" i="4" s="1"/>
  <c r="O384" i="4"/>
  <c r="P384" i="4" s="1"/>
  <c r="O380" i="4"/>
  <c r="P380" i="4" s="1"/>
  <c r="O376" i="4"/>
  <c r="P376" i="4" s="1"/>
  <c r="O372" i="4"/>
  <c r="P372" i="4" s="1"/>
  <c r="O368" i="4"/>
  <c r="P368" i="4" s="1"/>
  <c r="O364" i="4"/>
  <c r="P364" i="4" s="1"/>
  <c r="O360" i="4"/>
  <c r="P360" i="4" s="1"/>
  <c r="O356" i="4"/>
  <c r="P356" i="4" s="1"/>
  <c r="O352" i="4"/>
  <c r="P352" i="4" s="1"/>
  <c r="O348" i="4"/>
  <c r="P348" i="4" s="1"/>
  <c r="O344" i="4"/>
  <c r="P344" i="4" s="1"/>
  <c r="O340" i="4"/>
  <c r="P340" i="4" s="1"/>
  <c r="O336" i="4"/>
  <c r="P336" i="4" s="1"/>
  <c r="O332" i="4"/>
  <c r="P332" i="4" s="1"/>
  <c r="O328" i="4"/>
  <c r="P328" i="4" s="1"/>
  <c r="O324" i="4"/>
  <c r="P324" i="4" s="1"/>
  <c r="O320" i="4"/>
  <c r="P320" i="4" s="1"/>
  <c r="O316" i="4"/>
  <c r="P316" i="4" s="1"/>
  <c r="O312" i="4"/>
  <c r="P312" i="4" s="1"/>
  <c r="O308" i="4"/>
  <c r="P308" i="4" s="1"/>
  <c r="O304" i="4"/>
  <c r="P304" i="4" s="1"/>
  <c r="O300" i="4"/>
  <c r="P300" i="4" s="1"/>
  <c r="O296" i="4"/>
  <c r="P296" i="4" s="1"/>
  <c r="O292" i="4"/>
  <c r="P292" i="4" s="1"/>
  <c r="O288" i="4"/>
  <c r="P288" i="4" s="1"/>
  <c r="O284" i="4"/>
  <c r="P284" i="4" s="1"/>
  <c r="O280" i="4"/>
  <c r="P280" i="4" s="1"/>
  <c r="O276" i="4"/>
  <c r="P276" i="4" s="1"/>
  <c r="O272" i="4"/>
  <c r="P272" i="4" s="1"/>
  <c r="O268" i="4"/>
  <c r="P268" i="4" s="1"/>
  <c r="O264" i="4"/>
  <c r="P264" i="4" s="1"/>
  <c r="O260" i="4"/>
  <c r="P260" i="4" s="1"/>
  <c r="O256" i="4"/>
  <c r="P256" i="4" s="1"/>
  <c r="O252" i="4"/>
  <c r="P252" i="4" s="1"/>
  <c r="O248" i="4"/>
  <c r="P248" i="4" s="1"/>
  <c r="O244" i="4"/>
  <c r="P244" i="4" s="1"/>
  <c r="O240" i="4"/>
  <c r="P240" i="4" s="1"/>
  <c r="O236" i="4"/>
  <c r="P236" i="4" s="1"/>
  <c r="O232" i="4"/>
  <c r="P232" i="4" s="1"/>
  <c r="O228" i="4"/>
  <c r="P228" i="4" s="1"/>
  <c r="O224" i="4"/>
  <c r="P224" i="4" s="1"/>
  <c r="O220" i="4"/>
  <c r="P220" i="4" s="1"/>
  <c r="O216" i="4"/>
  <c r="P216" i="4" s="1"/>
  <c r="O212" i="4"/>
  <c r="P212" i="4" s="1"/>
  <c r="O208" i="4"/>
  <c r="P208" i="4" s="1"/>
  <c r="O204" i="4"/>
  <c r="P204" i="4" s="1"/>
  <c r="O200" i="4"/>
  <c r="P200" i="4" s="1"/>
  <c r="O196" i="4"/>
  <c r="P196" i="4" s="1"/>
  <c r="O192" i="4"/>
  <c r="P192" i="4" s="1"/>
  <c r="O188" i="4"/>
  <c r="P188" i="4" s="1"/>
  <c r="O184" i="4"/>
  <c r="P184" i="4" s="1"/>
  <c r="O180" i="4"/>
  <c r="P180" i="4" s="1"/>
  <c r="O176" i="4"/>
  <c r="P176" i="4" s="1"/>
  <c r="O172" i="4"/>
  <c r="P172" i="4" s="1"/>
  <c r="O168" i="4"/>
  <c r="P168" i="4" s="1"/>
  <c r="O164" i="4"/>
  <c r="P164" i="4" s="1"/>
  <c r="O160" i="4"/>
  <c r="P160" i="4" s="1"/>
  <c r="O156" i="4"/>
  <c r="P156" i="4" s="1"/>
  <c r="O152" i="4"/>
  <c r="P152" i="4" s="1"/>
  <c r="O148" i="4"/>
  <c r="P148" i="4" s="1"/>
  <c r="O144" i="4"/>
  <c r="P144" i="4" s="1"/>
  <c r="O140" i="4"/>
  <c r="P140" i="4" s="1"/>
  <c r="O136" i="4"/>
  <c r="P136" i="4" s="1"/>
  <c r="O132" i="4"/>
  <c r="P132" i="4" s="1"/>
  <c r="O128" i="4"/>
  <c r="P128" i="4" s="1"/>
  <c r="O124" i="4"/>
  <c r="P124" i="4" s="1"/>
  <c r="O120" i="4"/>
  <c r="P120" i="4" s="1"/>
  <c r="O116" i="4"/>
  <c r="P116" i="4" s="1"/>
  <c r="O112" i="4"/>
  <c r="P112" i="4" s="1"/>
  <c r="O108" i="4"/>
  <c r="P108" i="4" s="1"/>
  <c r="O104" i="4"/>
  <c r="P104" i="4" s="1"/>
  <c r="O100" i="4"/>
  <c r="P100" i="4" s="1"/>
  <c r="O96" i="4"/>
  <c r="P96" i="4" s="1"/>
  <c r="O92" i="4"/>
  <c r="P92" i="4" s="1"/>
  <c r="O88" i="4"/>
  <c r="P88" i="4" s="1"/>
  <c r="O84" i="4"/>
  <c r="P84" i="4" s="1"/>
  <c r="O80" i="4"/>
  <c r="P80" i="4" s="1"/>
  <c r="O76" i="4"/>
  <c r="P76" i="4" s="1"/>
  <c r="O72" i="4"/>
  <c r="P72" i="4" s="1"/>
  <c r="O68" i="4"/>
  <c r="P68" i="4" s="1"/>
  <c r="O64" i="4"/>
  <c r="P64" i="4" s="1"/>
  <c r="O60" i="4"/>
  <c r="P60" i="4" s="1"/>
  <c r="O56" i="4"/>
  <c r="P56" i="4" s="1"/>
  <c r="O52" i="4"/>
  <c r="P52" i="4" s="1"/>
  <c r="O48" i="4"/>
  <c r="P48" i="4" s="1"/>
  <c r="O44" i="4"/>
  <c r="P44" i="4" s="1"/>
  <c r="O40" i="4"/>
  <c r="P40" i="4" s="1"/>
  <c r="O36" i="4"/>
  <c r="P36" i="4" s="1"/>
  <c r="O32" i="4"/>
  <c r="P32" i="4" s="1"/>
  <c r="O28" i="4"/>
  <c r="P28" i="4" s="1"/>
  <c r="O24" i="4"/>
  <c r="P24" i="4" s="1"/>
  <c r="O20" i="4"/>
  <c r="P20" i="4" s="1"/>
  <c r="O16" i="4"/>
  <c r="P16" i="4" s="1"/>
  <c r="O12" i="4"/>
  <c r="P12" i="4" s="1"/>
  <c r="O8" i="4"/>
  <c r="P8" i="4" s="1"/>
  <c r="O4" i="4"/>
  <c r="P4" i="4" s="1"/>
  <c r="O501" i="4"/>
  <c r="P501" i="4" s="1"/>
  <c r="O497" i="4"/>
  <c r="P497" i="4" s="1"/>
  <c r="O493" i="4"/>
  <c r="P493" i="4" s="1"/>
  <c r="O489" i="4"/>
  <c r="P489" i="4" s="1"/>
  <c r="O485" i="4"/>
  <c r="P485" i="4" s="1"/>
  <c r="O481" i="4"/>
  <c r="P481" i="4" s="1"/>
  <c r="O477" i="4"/>
  <c r="P477" i="4" s="1"/>
  <c r="O473" i="4"/>
  <c r="P473" i="4" s="1"/>
  <c r="O469" i="4"/>
  <c r="P469" i="4" s="1"/>
  <c r="O465" i="4"/>
  <c r="P465" i="4" s="1"/>
  <c r="O461" i="4"/>
  <c r="P461" i="4" s="1"/>
  <c r="O457" i="4"/>
  <c r="P457" i="4" s="1"/>
  <c r="O453" i="4"/>
  <c r="P453" i="4" s="1"/>
  <c r="O449" i="4"/>
  <c r="P449" i="4" s="1"/>
  <c r="O445" i="4"/>
  <c r="P445" i="4" s="1"/>
  <c r="O441" i="4"/>
  <c r="P441" i="4" s="1"/>
  <c r="O437" i="4"/>
  <c r="P437" i="4" s="1"/>
  <c r="O433" i="4"/>
  <c r="P433" i="4" s="1"/>
  <c r="O429" i="4"/>
  <c r="P429" i="4" s="1"/>
  <c r="O425" i="4"/>
  <c r="P425" i="4" s="1"/>
  <c r="O421" i="4"/>
  <c r="P421" i="4" s="1"/>
  <c r="O417" i="4"/>
  <c r="P417" i="4" s="1"/>
  <c r="O413" i="4"/>
  <c r="P413" i="4" s="1"/>
  <c r="O409" i="4"/>
  <c r="P409" i="4" s="1"/>
  <c r="O405" i="4"/>
  <c r="P405" i="4" s="1"/>
  <c r="O401" i="4"/>
  <c r="P401" i="4" s="1"/>
  <c r="O397" i="4"/>
  <c r="P397" i="4" s="1"/>
  <c r="O393" i="4"/>
  <c r="P393" i="4" s="1"/>
  <c r="O389" i="4"/>
  <c r="P389" i="4" s="1"/>
  <c r="O385" i="4"/>
  <c r="P385" i="4" s="1"/>
  <c r="O381" i="4"/>
  <c r="P381" i="4" s="1"/>
  <c r="O377" i="4"/>
  <c r="P377" i="4" s="1"/>
  <c r="O373" i="4"/>
  <c r="P373" i="4" s="1"/>
  <c r="O369" i="4"/>
  <c r="P369" i="4" s="1"/>
  <c r="O365" i="4"/>
  <c r="P365" i="4" s="1"/>
  <c r="O361" i="4"/>
  <c r="P361" i="4" s="1"/>
  <c r="O357" i="4"/>
  <c r="P357" i="4" s="1"/>
  <c r="O353" i="4"/>
  <c r="P353" i="4" s="1"/>
  <c r="O349" i="4"/>
  <c r="P349" i="4" s="1"/>
  <c r="O345" i="4"/>
  <c r="P345" i="4" s="1"/>
  <c r="O341" i="4"/>
  <c r="P341" i="4" s="1"/>
  <c r="O337" i="4"/>
  <c r="P337" i="4" s="1"/>
  <c r="O333" i="4"/>
  <c r="P333" i="4" s="1"/>
  <c r="O329" i="4"/>
  <c r="P329" i="4" s="1"/>
  <c r="O325" i="4"/>
  <c r="P325" i="4" s="1"/>
  <c r="O321" i="4"/>
  <c r="P321" i="4" s="1"/>
  <c r="O317" i="4"/>
  <c r="P317" i="4" s="1"/>
  <c r="O313" i="4"/>
  <c r="P313" i="4" s="1"/>
  <c r="O309" i="4"/>
  <c r="P309" i="4" s="1"/>
  <c r="O305" i="4"/>
  <c r="P305" i="4" s="1"/>
  <c r="O301" i="4"/>
  <c r="P301" i="4" s="1"/>
  <c r="O297" i="4"/>
  <c r="P297" i="4" s="1"/>
  <c r="O293" i="4"/>
  <c r="P293" i="4" s="1"/>
  <c r="O289" i="4"/>
  <c r="P289" i="4" s="1"/>
  <c r="O285" i="4"/>
  <c r="P285" i="4" s="1"/>
  <c r="O281" i="4"/>
  <c r="P281" i="4" s="1"/>
  <c r="O277" i="4"/>
  <c r="P277" i="4" s="1"/>
  <c r="O273" i="4"/>
  <c r="P273" i="4" s="1"/>
  <c r="O269" i="4"/>
  <c r="P269" i="4" s="1"/>
  <c r="O265" i="4"/>
  <c r="P265" i="4" s="1"/>
  <c r="O261" i="4"/>
  <c r="P261" i="4" s="1"/>
  <c r="O257" i="4"/>
  <c r="P257" i="4" s="1"/>
  <c r="O253" i="4"/>
  <c r="P253" i="4" s="1"/>
  <c r="O249" i="4"/>
  <c r="P249" i="4" s="1"/>
  <c r="O245" i="4"/>
  <c r="P245" i="4" s="1"/>
  <c r="O241" i="4"/>
  <c r="P241" i="4" s="1"/>
  <c r="O237" i="4"/>
  <c r="P237" i="4" s="1"/>
  <c r="O233" i="4"/>
  <c r="P233" i="4" s="1"/>
  <c r="O229" i="4"/>
  <c r="P229" i="4" s="1"/>
  <c r="O225" i="4"/>
  <c r="P225" i="4" s="1"/>
  <c r="O221" i="4"/>
  <c r="P221" i="4" s="1"/>
  <c r="O217" i="4"/>
  <c r="P217" i="4" s="1"/>
  <c r="O213" i="4"/>
  <c r="P213" i="4" s="1"/>
  <c r="O209" i="4"/>
  <c r="P209" i="4" s="1"/>
  <c r="O205" i="4"/>
  <c r="P205" i="4" s="1"/>
  <c r="O201" i="4"/>
  <c r="P201" i="4" s="1"/>
  <c r="O197" i="4"/>
  <c r="P197" i="4" s="1"/>
  <c r="O193" i="4"/>
  <c r="P193" i="4" s="1"/>
  <c r="O189" i="4"/>
  <c r="P189" i="4" s="1"/>
  <c r="O185" i="4"/>
  <c r="P185" i="4" s="1"/>
  <c r="O181" i="4"/>
  <c r="P181" i="4" s="1"/>
  <c r="O177" i="4"/>
  <c r="P177" i="4" s="1"/>
  <c r="O173" i="4"/>
  <c r="P173" i="4" s="1"/>
  <c r="O169" i="4"/>
  <c r="P169" i="4" s="1"/>
  <c r="O165" i="4"/>
  <c r="P165" i="4" s="1"/>
  <c r="O161" i="4"/>
  <c r="P161" i="4" s="1"/>
  <c r="O157" i="4"/>
  <c r="P157" i="4" s="1"/>
  <c r="O153" i="4"/>
  <c r="P153" i="4" s="1"/>
  <c r="O149" i="4"/>
  <c r="P149" i="4" s="1"/>
  <c r="O145" i="4"/>
  <c r="P145" i="4" s="1"/>
  <c r="O141" i="4"/>
  <c r="P141" i="4" s="1"/>
  <c r="O137" i="4"/>
  <c r="P137" i="4" s="1"/>
  <c r="O133" i="4"/>
  <c r="P133" i="4" s="1"/>
  <c r="O129" i="4"/>
  <c r="P129" i="4" s="1"/>
  <c r="O125" i="4"/>
  <c r="P125" i="4" s="1"/>
  <c r="O121" i="4"/>
  <c r="P121" i="4" s="1"/>
  <c r="O117" i="4"/>
  <c r="P117" i="4" s="1"/>
  <c r="O113" i="4"/>
  <c r="P113" i="4" s="1"/>
  <c r="O109" i="4"/>
  <c r="P109" i="4" s="1"/>
  <c r="O105" i="4"/>
  <c r="P105" i="4" s="1"/>
  <c r="O101" i="4"/>
  <c r="P101" i="4" s="1"/>
  <c r="O97" i="4"/>
  <c r="P97" i="4" s="1"/>
  <c r="O93" i="4"/>
  <c r="P93" i="4" s="1"/>
  <c r="O89" i="4"/>
  <c r="P89" i="4" s="1"/>
  <c r="O85" i="4"/>
  <c r="P85" i="4" s="1"/>
  <c r="O81" i="4"/>
  <c r="P81" i="4" s="1"/>
  <c r="O77" i="4"/>
  <c r="P77" i="4" s="1"/>
  <c r="O73" i="4"/>
  <c r="P73" i="4" s="1"/>
  <c r="O69" i="4"/>
  <c r="P69" i="4" s="1"/>
  <c r="O65" i="4"/>
  <c r="P65" i="4" s="1"/>
  <c r="O61" i="4"/>
  <c r="P61" i="4" s="1"/>
  <c r="O57" i="4"/>
  <c r="P57" i="4" s="1"/>
  <c r="O53" i="4"/>
  <c r="P53" i="4" s="1"/>
  <c r="O49" i="4"/>
  <c r="P49" i="4" s="1"/>
  <c r="O45" i="4"/>
  <c r="P45" i="4" s="1"/>
  <c r="O41" i="4"/>
  <c r="P41" i="4" s="1"/>
  <c r="O37" i="4"/>
  <c r="P37" i="4" s="1"/>
  <c r="O33" i="4"/>
  <c r="P33" i="4" s="1"/>
  <c r="O29" i="4"/>
  <c r="P29" i="4" s="1"/>
  <c r="O25" i="4"/>
  <c r="P25" i="4" s="1"/>
  <c r="O21" i="4"/>
  <c r="P21" i="4" s="1"/>
  <c r="O17" i="4"/>
  <c r="P17" i="4" s="1"/>
  <c r="O13" i="4"/>
  <c r="P13" i="4" s="1"/>
  <c r="O9" i="4"/>
  <c r="P9" i="4" s="1"/>
  <c r="O5" i="4"/>
  <c r="P5" i="4" s="1"/>
  <c r="O498" i="4"/>
  <c r="P498" i="4" s="1"/>
  <c r="O494" i="4"/>
  <c r="P494" i="4" s="1"/>
  <c r="O490" i="4"/>
  <c r="P490" i="4" s="1"/>
  <c r="O486" i="4"/>
  <c r="P486" i="4" s="1"/>
  <c r="O482" i="4"/>
  <c r="P482" i="4" s="1"/>
  <c r="O478" i="4"/>
  <c r="P478" i="4" s="1"/>
  <c r="O474" i="4"/>
  <c r="P474" i="4" s="1"/>
  <c r="O470" i="4"/>
  <c r="P470" i="4" s="1"/>
  <c r="O466" i="4"/>
  <c r="P466" i="4" s="1"/>
  <c r="O462" i="4"/>
  <c r="P462" i="4" s="1"/>
  <c r="O458" i="4"/>
  <c r="P458" i="4" s="1"/>
  <c r="O454" i="4"/>
  <c r="P454" i="4" s="1"/>
  <c r="O450" i="4"/>
  <c r="P450" i="4" s="1"/>
  <c r="O446" i="4"/>
  <c r="P446" i="4" s="1"/>
  <c r="O442" i="4"/>
  <c r="P442" i="4" s="1"/>
  <c r="O438" i="4"/>
  <c r="P438" i="4" s="1"/>
  <c r="O434" i="4"/>
  <c r="P434" i="4" s="1"/>
  <c r="O430" i="4"/>
  <c r="P430" i="4" s="1"/>
  <c r="O426" i="4"/>
  <c r="P426" i="4" s="1"/>
  <c r="O422" i="4"/>
  <c r="P422" i="4" s="1"/>
  <c r="O418" i="4"/>
  <c r="P418" i="4" s="1"/>
  <c r="O414" i="4"/>
  <c r="P414" i="4" s="1"/>
  <c r="O410" i="4"/>
  <c r="P410" i="4" s="1"/>
  <c r="O406" i="4"/>
  <c r="P406" i="4" s="1"/>
  <c r="O402" i="4"/>
  <c r="P402" i="4" s="1"/>
  <c r="O398" i="4"/>
  <c r="P398" i="4" s="1"/>
  <c r="O394" i="4"/>
  <c r="P394" i="4" s="1"/>
  <c r="O390" i="4"/>
  <c r="P390" i="4" s="1"/>
  <c r="O386" i="4"/>
  <c r="P386" i="4" s="1"/>
  <c r="O382" i="4"/>
  <c r="P382" i="4" s="1"/>
  <c r="O378" i="4"/>
  <c r="P378" i="4" s="1"/>
  <c r="O374" i="4"/>
  <c r="P374" i="4" s="1"/>
  <c r="O370" i="4"/>
  <c r="P370" i="4" s="1"/>
  <c r="O366" i="4"/>
  <c r="P366" i="4" s="1"/>
  <c r="O362" i="4"/>
  <c r="P362" i="4" s="1"/>
  <c r="O358" i="4"/>
  <c r="P358" i="4" s="1"/>
  <c r="O354" i="4"/>
  <c r="P354" i="4" s="1"/>
  <c r="O350" i="4"/>
  <c r="P350" i="4" s="1"/>
  <c r="O346" i="4"/>
  <c r="P346" i="4" s="1"/>
  <c r="O342" i="4"/>
  <c r="P342" i="4" s="1"/>
  <c r="O338" i="4"/>
  <c r="P338" i="4" s="1"/>
  <c r="O334" i="4"/>
  <c r="P334" i="4" s="1"/>
  <c r="O330" i="4"/>
  <c r="P330" i="4" s="1"/>
  <c r="O326" i="4"/>
  <c r="P326" i="4" s="1"/>
  <c r="O322" i="4"/>
  <c r="P322" i="4" s="1"/>
  <c r="O318" i="4"/>
  <c r="P318" i="4" s="1"/>
  <c r="O314" i="4"/>
  <c r="P314" i="4" s="1"/>
  <c r="O310" i="4"/>
  <c r="P310" i="4" s="1"/>
  <c r="O306" i="4"/>
  <c r="P306" i="4" s="1"/>
  <c r="O302" i="4"/>
  <c r="P302" i="4" s="1"/>
  <c r="O298" i="4"/>
  <c r="P298" i="4" s="1"/>
  <c r="O294" i="4"/>
  <c r="P294" i="4" s="1"/>
  <c r="O290" i="4"/>
  <c r="P290" i="4" s="1"/>
  <c r="O286" i="4"/>
  <c r="P286" i="4" s="1"/>
  <c r="O282" i="4"/>
  <c r="P282" i="4" s="1"/>
  <c r="O278" i="4"/>
  <c r="P278" i="4" s="1"/>
  <c r="O274" i="4"/>
  <c r="P274" i="4" s="1"/>
  <c r="O270" i="4"/>
  <c r="P270" i="4" s="1"/>
  <c r="O266" i="4"/>
  <c r="P266" i="4" s="1"/>
  <c r="O262" i="4"/>
  <c r="P262" i="4" s="1"/>
  <c r="O258" i="4"/>
  <c r="P258" i="4" s="1"/>
  <c r="O254" i="4"/>
  <c r="P254" i="4" s="1"/>
  <c r="O250" i="4"/>
  <c r="P250" i="4" s="1"/>
  <c r="O246" i="4"/>
  <c r="P246" i="4" s="1"/>
  <c r="O242" i="4"/>
  <c r="P242" i="4" s="1"/>
  <c r="O238" i="4"/>
  <c r="P238" i="4" s="1"/>
  <c r="O234" i="4"/>
  <c r="P234" i="4" s="1"/>
  <c r="O230" i="4"/>
  <c r="P230" i="4" s="1"/>
  <c r="O226" i="4"/>
  <c r="P226" i="4" s="1"/>
  <c r="O222" i="4"/>
  <c r="P222" i="4" s="1"/>
  <c r="O218" i="4"/>
  <c r="P218" i="4" s="1"/>
  <c r="O214" i="4"/>
  <c r="P214" i="4" s="1"/>
  <c r="O210" i="4"/>
  <c r="P210" i="4" s="1"/>
  <c r="O206" i="4"/>
  <c r="P206" i="4" s="1"/>
  <c r="O202" i="4"/>
  <c r="P202" i="4" s="1"/>
  <c r="O198" i="4"/>
  <c r="P198" i="4" s="1"/>
  <c r="O194" i="4"/>
  <c r="P194" i="4" s="1"/>
  <c r="O190" i="4"/>
  <c r="P190" i="4" s="1"/>
  <c r="O186" i="4"/>
  <c r="P186" i="4" s="1"/>
  <c r="O182" i="4"/>
  <c r="P182" i="4" s="1"/>
  <c r="O178" i="4"/>
  <c r="P178" i="4" s="1"/>
  <c r="O174" i="4"/>
  <c r="P174" i="4" s="1"/>
  <c r="O170" i="4"/>
  <c r="P170" i="4" s="1"/>
  <c r="O166" i="4"/>
  <c r="P166" i="4" s="1"/>
  <c r="O162" i="4"/>
  <c r="P162" i="4" s="1"/>
  <c r="O158" i="4"/>
  <c r="P158" i="4" s="1"/>
  <c r="O154" i="4"/>
  <c r="P154" i="4" s="1"/>
  <c r="O150" i="4"/>
  <c r="P150" i="4" s="1"/>
  <c r="O146" i="4"/>
  <c r="P146" i="4" s="1"/>
  <c r="O142" i="4"/>
  <c r="P142" i="4" s="1"/>
  <c r="O138" i="4"/>
  <c r="P138" i="4" s="1"/>
  <c r="O134" i="4"/>
  <c r="P134" i="4" s="1"/>
  <c r="O130" i="4"/>
  <c r="P130" i="4" s="1"/>
  <c r="O126" i="4"/>
  <c r="P126" i="4" s="1"/>
  <c r="O122" i="4"/>
  <c r="P122" i="4" s="1"/>
  <c r="O118" i="4"/>
  <c r="P118" i="4" s="1"/>
  <c r="O114" i="4"/>
  <c r="P114" i="4" s="1"/>
  <c r="O110" i="4"/>
  <c r="P110" i="4" s="1"/>
  <c r="O106" i="4"/>
  <c r="P106" i="4" s="1"/>
  <c r="O102" i="4"/>
  <c r="P102" i="4" s="1"/>
  <c r="O98" i="4"/>
  <c r="P98" i="4" s="1"/>
  <c r="O94" i="4"/>
  <c r="P94" i="4" s="1"/>
  <c r="O90" i="4"/>
  <c r="P90" i="4" s="1"/>
  <c r="O86" i="4"/>
  <c r="P86" i="4" s="1"/>
  <c r="O82" i="4"/>
  <c r="P82" i="4" s="1"/>
  <c r="O78" i="4"/>
  <c r="P78" i="4" s="1"/>
  <c r="O74" i="4"/>
  <c r="P74" i="4" s="1"/>
  <c r="O70" i="4"/>
  <c r="P70" i="4" s="1"/>
  <c r="O66" i="4"/>
  <c r="P66" i="4" s="1"/>
  <c r="O62" i="4"/>
  <c r="P62" i="4" s="1"/>
  <c r="O58" i="4"/>
  <c r="P58" i="4" s="1"/>
  <c r="O54" i="4"/>
  <c r="P54" i="4" s="1"/>
  <c r="O50" i="4"/>
  <c r="P50" i="4" s="1"/>
  <c r="O46" i="4"/>
  <c r="P46" i="4" s="1"/>
  <c r="O42" i="4"/>
  <c r="P42" i="4" s="1"/>
  <c r="O38" i="4"/>
  <c r="P38" i="4" s="1"/>
  <c r="O34" i="4"/>
  <c r="P34" i="4" s="1"/>
  <c r="O30" i="4"/>
  <c r="P30" i="4" s="1"/>
  <c r="O26" i="4"/>
  <c r="P26" i="4" s="1"/>
  <c r="O22" i="4"/>
  <c r="P22" i="4" s="1"/>
  <c r="O18" i="4"/>
  <c r="P18" i="4" s="1"/>
  <c r="O14" i="4"/>
  <c r="P14" i="4" s="1"/>
  <c r="O10" i="4"/>
  <c r="P10" i="4" s="1"/>
  <c r="O6" i="4"/>
  <c r="P6" i="4" s="1"/>
  <c r="F508" i="4"/>
  <c r="F509" i="4"/>
  <c r="O506" i="4" l="1"/>
  <c r="P506" i="4" s="1"/>
  <c r="P2" i="4"/>
  <c r="Q22" i="4"/>
  <c r="Q62" i="4"/>
  <c r="Q126" i="4"/>
  <c r="Q190" i="4"/>
  <c r="Q254" i="4"/>
  <c r="Q318" i="4"/>
  <c r="Q382" i="4"/>
  <c r="Q446" i="4"/>
  <c r="Q13" i="4"/>
  <c r="Q77" i="4"/>
  <c r="Q141" i="4"/>
  <c r="Q205" i="4"/>
  <c r="Q269" i="4"/>
  <c r="Q333" i="4"/>
  <c r="Q397" i="4"/>
  <c r="Q461" i="4"/>
  <c r="Q24" i="4"/>
  <c r="Q88" i="4"/>
  <c r="Q152" i="4"/>
  <c r="Q216" i="4"/>
  <c r="Q280" i="4"/>
  <c r="Q344" i="4"/>
  <c r="Q440" i="4"/>
  <c r="Q3" i="4"/>
  <c r="Q67" i="4"/>
  <c r="Q131" i="4"/>
  <c r="Q195" i="4"/>
  <c r="Q227" i="4"/>
  <c r="Q291" i="4"/>
  <c r="Q355" i="4"/>
  <c r="Q419" i="4"/>
  <c r="Q6" i="4"/>
  <c r="Q30" i="4"/>
  <c r="Q70" i="4"/>
  <c r="Q102" i="4"/>
  <c r="Q134" i="4"/>
  <c r="Q166" i="4"/>
  <c r="Q198" i="4"/>
  <c r="Q230" i="4"/>
  <c r="Q262" i="4"/>
  <c r="Q294" i="4"/>
  <c r="Q326" i="4"/>
  <c r="Q358" i="4"/>
  <c r="Q390" i="4"/>
  <c r="Q422" i="4"/>
  <c r="Q454" i="4"/>
  <c r="Q486" i="4"/>
  <c r="Q21" i="4"/>
  <c r="Q53" i="4"/>
  <c r="Q85" i="4"/>
  <c r="Q117" i="4"/>
  <c r="Q149" i="4"/>
  <c r="Q181" i="4"/>
  <c r="Q213" i="4"/>
  <c r="Q245" i="4"/>
  <c r="Q277" i="4"/>
  <c r="Q309" i="4"/>
  <c r="Q341" i="4"/>
  <c r="Q373" i="4"/>
  <c r="Q405" i="4"/>
  <c r="Q437" i="4"/>
  <c r="Q469" i="4"/>
  <c r="Q501" i="4"/>
  <c r="Q32" i="4"/>
  <c r="Q64" i="4"/>
  <c r="Q96" i="4"/>
  <c r="Q128" i="4"/>
  <c r="Q160" i="4"/>
  <c r="Q192" i="4"/>
  <c r="Q224" i="4"/>
  <c r="Q256" i="4"/>
  <c r="Q288" i="4"/>
  <c r="Q320" i="4"/>
  <c r="Q352" i="4"/>
  <c r="Q384" i="4"/>
  <c r="Q416" i="4"/>
  <c r="Q448" i="4"/>
  <c r="Q480" i="4"/>
  <c r="Q11" i="4"/>
  <c r="Q43" i="4"/>
  <c r="Q75" i="4"/>
  <c r="Q107" i="4"/>
  <c r="Q139" i="4"/>
  <c r="Q171" i="4"/>
  <c r="Q203" i="4"/>
  <c r="Q235" i="4"/>
  <c r="Q267" i="4"/>
  <c r="Q299" i="4"/>
  <c r="Q331" i="4"/>
  <c r="Q363" i="4"/>
  <c r="Q395" i="4"/>
  <c r="Q427" i="4"/>
  <c r="Q459" i="4"/>
  <c r="Q491" i="4"/>
  <c r="Q54" i="4"/>
  <c r="Q86" i="4"/>
  <c r="Q118" i="4"/>
  <c r="Q150" i="4"/>
  <c r="Q182" i="4"/>
  <c r="Q214" i="4"/>
  <c r="Q246" i="4"/>
  <c r="Q278" i="4"/>
  <c r="Q310" i="4"/>
  <c r="Q342" i="4"/>
  <c r="Q374" i="4"/>
  <c r="Q406" i="4"/>
  <c r="Q438" i="4"/>
  <c r="Q470" i="4"/>
  <c r="Q5" i="4"/>
  <c r="Q37" i="4"/>
  <c r="Q69" i="4"/>
  <c r="Q101" i="4"/>
  <c r="Q133" i="4"/>
  <c r="Q165" i="4"/>
  <c r="Q197" i="4"/>
  <c r="Q229" i="4"/>
  <c r="Q261" i="4"/>
  <c r="Q293" i="4"/>
  <c r="Q325" i="4"/>
  <c r="Q357" i="4"/>
  <c r="Q389" i="4"/>
  <c r="Q421" i="4"/>
  <c r="Q453" i="4"/>
  <c r="Q485" i="4"/>
  <c r="Q16" i="4"/>
  <c r="Q48" i="4"/>
  <c r="Q80" i="4"/>
  <c r="Q112" i="4"/>
  <c r="Q144" i="4"/>
  <c r="Q176" i="4"/>
  <c r="Q208" i="4"/>
  <c r="Q240" i="4"/>
  <c r="Q272" i="4"/>
  <c r="Q304" i="4"/>
  <c r="Q336" i="4"/>
  <c r="Q368" i="4"/>
  <c r="Q400" i="4"/>
  <c r="Q432" i="4"/>
  <c r="Q464" i="4"/>
  <c r="Q496" i="4"/>
  <c r="Q27" i="4"/>
  <c r="Q59" i="4"/>
  <c r="Q91" i="4"/>
  <c r="Q123" i="4"/>
  <c r="Q155" i="4"/>
  <c r="Q187" i="4"/>
  <c r="Q219" i="4"/>
  <c r="Q251" i="4"/>
  <c r="Q283" i="4"/>
  <c r="Q315" i="4"/>
  <c r="Q347" i="4"/>
  <c r="Q379" i="4"/>
  <c r="Q411" i="4"/>
  <c r="Q443" i="4"/>
  <c r="Q475" i="4"/>
  <c r="Q94" i="4"/>
  <c r="Q158" i="4"/>
  <c r="Q222" i="4"/>
  <c r="Q286" i="4"/>
  <c r="Q350" i="4"/>
  <c r="Q414" i="4"/>
  <c r="Q478" i="4"/>
  <c r="Q45" i="4"/>
  <c r="Q109" i="4"/>
  <c r="Q173" i="4"/>
  <c r="Q237" i="4"/>
  <c r="Q301" i="4"/>
  <c r="Q365" i="4"/>
  <c r="Q429" i="4"/>
  <c r="Q493" i="4"/>
  <c r="Q56" i="4"/>
  <c r="Q120" i="4"/>
  <c r="Q184" i="4"/>
  <c r="Q248" i="4"/>
  <c r="Q312" i="4"/>
  <c r="Q376" i="4"/>
  <c r="Q408" i="4"/>
  <c r="Q472" i="4"/>
  <c r="Q35" i="4"/>
  <c r="Q99" i="4"/>
  <c r="Q163" i="4"/>
  <c r="Q259" i="4"/>
  <c r="Q323" i="4"/>
  <c r="Q387" i="4"/>
  <c r="Q451" i="4"/>
  <c r="Q483" i="4"/>
  <c r="Q14" i="4"/>
  <c r="Q38" i="4"/>
  <c r="Q46" i="4"/>
  <c r="Q78" i="4"/>
  <c r="Q110" i="4"/>
  <c r="Q142" i="4"/>
  <c r="Q174" i="4"/>
  <c r="Q206" i="4"/>
  <c r="Q238" i="4"/>
  <c r="Q270" i="4"/>
  <c r="Q302" i="4"/>
  <c r="Q334" i="4"/>
  <c r="Q366" i="4"/>
  <c r="Q398" i="4"/>
  <c r="Q430" i="4"/>
  <c r="Q462" i="4"/>
  <c r="Q494" i="4"/>
  <c r="Q29" i="4"/>
  <c r="Q61" i="4"/>
  <c r="Q93" i="4"/>
  <c r="Q125" i="4"/>
  <c r="Q157" i="4"/>
  <c r="Q189" i="4"/>
  <c r="Q221" i="4"/>
  <c r="Q253" i="4"/>
  <c r="Q285" i="4"/>
  <c r="Q317" i="4"/>
  <c r="Q349" i="4"/>
  <c r="Q381" i="4"/>
  <c r="Q413" i="4"/>
  <c r="Q445" i="4"/>
  <c r="Q477" i="4"/>
  <c r="Q8" i="4"/>
  <c r="Q40" i="4"/>
  <c r="Q72" i="4"/>
  <c r="Q104" i="4"/>
  <c r="Q136" i="4"/>
  <c r="Q168" i="4"/>
  <c r="Q200" i="4"/>
  <c r="Q232" i="4"/>
  <c r="Q264" i="4"/>
  <c r="Q296" i="4"/>
  <c r="Q328" i="4"/>
  <c r="Q360" i="4"/>
  <c r="Q392" i="4"/>
  <c r="Q424" i="4"/>
  <c r="Q456" i="4"/>
  <c r="Q488" i="4"/>
  <c r="Q19" i="4"/>
  <c r="Q51" i="4"/>
  <c r="Q83" i="4"/>
  <c r="Q115" i="4"/>
  <c r="Q147" i="4"/>
  <c r="Q179" i="4"/>
  <c r="Q211" i="4"/>
  <c r="Q243" i="4"/>
  <c r="Q275" i="4"/>
  <c r="Q307" i="4"/>
  <c r="Q339" i="4"/>
  <c r="Q371" i="4"/>
  <c r="Q403" i="4"/>
  <c r="Q435" i="4"/>
  <c r="Q467" i="4"/>
  <c r="Q499" i="4"/>
  <c r="R497" i="4"/>
  <c r="R481" i="4"/>
  <c r="R465" i="4"/>
  <c r="R449" i="4"/>
  <c r="R433" i="4"/>
  <c r="R417" i="4"/>
  <c r="R401" i="4"/>
  <c r="R385" i="4"/>
  <c r="R369" i="4"/>
  <c r="R353" i="4"/>
  <c r="R337" i="4"/>
  <c r="R321" i="4"/>
  <c r="R305" i="4"/>
  <c r="R289" i="4"/>
  <c r="R273" i="4"/>
  <c r="R257" i="4"/>
  <c r="R241" i="4"/>
  <c r="R225" i="4"/>
  <c r="R209" i="4"/>
  <c r="R193" i="4"/>
  <c r="R177" i="4"/>
  <c r="R161" i="4"/>
  <c r="R145" i="4"/>
  <c r="R129" i="4"/>
  <c r="R113" i="4"/>
  <c r="R97" i="4"/>
  <c r="R81" i="4"/>
  <c r="R65" i="4"/>
  <c r="R49" i="4"/>
  <c r="R33" i="4"/>
  <c r="R17" i="4"/>
  <c r="R494" i="4"/>
  <c r="R458" i="4"/>
  <c r="R442" i="4"/>
  <c r="R426" i="4"/>
  <c r="R410" i="4"/>
  <c r="R394" i="4"/>
  <c r="R378" i="4"/>
  <c r="R362" i="4"/>
  <c r="R346" i="4"/>
  <c r="R330" i="4"/>
  <c r="R314" i="4"/>
  <c r="R298" i="4"/>
  <c r="R282" i="4"/>
  <c r="R266" i="4"/>
  <c r="R250" i="4"/>
  <c r="R234" i="4"/>
  <c r="R218" i="4"/>
  <c r="R202" i="4"/>
  <c r="R186" i="4"/>
  <c r="R170" i="4"/>
  <c r="R154" i="4"/>
  <c r="R138" i="4"/>
  <c r="R122" i="4"/>
  <c r="R106" i="4"/>
  <c r="R90" i="4"/>
  <c r="R74" i="4"/>
  <c r="R58" i="4"/>
  <c r="R42" i="4"/>
  <c r="R26" i="4"/>
  <c r="R10" i="4"/>
  <c r="R499" i="4"/>
  <c r="R483" i="4"/>
  <c r="R467" i="4"/>
  <c r="R451" i="4"/>
  <c r="R435" i="4"/>
  <c r="R419" i="4"/>
  <c r="R403" i="4"/>
  <c r="R387" i="4"/>
  <c r="R371" i="4"/>
  <c r="R355" i="4"/>
  <c r="R339" i="4"/>
  <c r="R323" i="4"/>
  <c r="R307" i="4"/>
  <c r="R291" i="4"/>
  <c r="R275" i="4"/>
  <c r="R259" i="4"/>
  <c r="R243" i="4"/>
  <c r="R227" i="4"/>
  <c r="R211" i="4"/>
  <c r="R195" i="4"/>
  <c r="R179" i="4"/>
  <c r="R163" i="4"/>
  <c r="R147" i="4"/>
  <c r="R131" i="4"/>
  <c r="R115" i="4"/>
  <c r="R99" i="4"/>
  <c r="R83" i="4"/>
  <c r="R67" i="4"/>
  <c r="R51" i="4"/>
  <c r="R35" i="4"/>
  <c r="R19" i="4"/>
  <c r="R3" i="4"/>
  <c r="R498" i="4"/>
  <c r="R500" i="4"/>
  <c r="R484" i="4"/>
  <c r="R468" i="4"/>
  <c r="R452" i="4"/>
  <c r="R436" i="4"/>
  <c r="R420" i="4"/>
  <c r="R404" i="4"/>
  <c r="R388" i="4"/>
  <c r="R372" i="4"/>
  <c r="R356" i="4"/>
  <c r="R340" i="4"/>
  <c r="R324" i="4"/>
  <c r="R308" i="4"/>
  <c r="R292" i="4"/>
  <c r="R276" i="4"/>
  <c r="R260" i="4"/>
  <c r="R244" i="4"/>
  <c r="R228" i="4"/>
  <c r="R212" i="4"/>
  <c r="R196" i="4"/>
  <c r="R180" i="4"/>
  <c r="R164" i="4"/>
  <c r="R148" i="4"/>
  <c r="R132" i="4"/>
  <c r="R116" i="4"/>
  <c r="R100" i="4"/>
  <c r="R84" i="4"/>
  <c r="R68" i="4"/>
  <c r="R52" i="4"/>
  <c r="R36" i="4"/>
  <c r="R20" i="4"/>
  <c r="R4" i="4"/>
  <c r="R501" i="4"/>
  <c r="R485" i="4"/>
  <c r="R469" i="4"/>
  <c r="R453" i="4"/>
  <c r="R437" i="4"/>
  <c r="R421" i="4"/>
  <c r="R405" i="4"/>
  <c r="R389" i="4"/>
  <c r="R373" i="4"/>
  <c r="R357" i="4"/>
  <c r="R341" i="4"/>
  <c r="R325" i="4"/>
  <c r="R309" i="4"/>
  <c r="R293" i="4"/>
  <c r="R277" i="4"/>
  <c r="R261" i="4"/>
  <c r="R245" i="4"/>
  <c r="R229" i="4"/>
  <c r="R213" i="4"/>
  <c r="R197" i="4"/>
  <c r="R181" i="4"/>
  <c r="R165" i="4"/>
  <c r="R149" i="4"/>
  <c r="R133" i="4"/>
  <c r="R117" i="4"/>
  <c r="R101" i="4"/>
  <c r="R85" i="4"/>
  <c r="R69" i="4"/>
  <c r="R53" i="4"/>
  <c r="R37" i="4"/>
  <c r="R21" i="4"/>
  <c r="R5" i="4"/>
  <c r="R462" i="4"/>
  <c r="R446" i="4"/>
  <c r="R430" i="4"/>
  <c r="R414" i="4"/>
  <c r="R398" i="4"/>
  <c r="R382" i="4"/>
  <c r="R366" i="4"/>
  <c r="R350" i="4"/>
  <c r="R334" i="4"/>
  <c r="R318" i="4"/>
  <c r="R302" i="4"/>
  <c r="R286" i="4"/>
  <c r="R270" i="4"/>
  <c r="R254" i="4"/>
  <c r="R238" i="4"/>
  <c r="R222" i="4"/>
  <c r="R206" i="4"/>
  <c r="R190" i="4"/>
  <c r="R174" i="4"/>
  <c r="R158" i="4"/>
  <c r="R142" i="4"/>
  <c r="R126" i="4"/>
  <c r="R110" i="4"/>
  <c r="R94" i="4"/>
  <c r="R78" i="4"/>
  <c r="R62" i="4"/>
  <c r="R46" i="4"/>
  <c r="R30" i="4"/>
  <c r="R14" i="4"/>
  <c r="R474" i="4"/>
  <c r="R487" i="4"/>
  <c r="R471" i="4"/>
  <c r="R455" i="4"/>
  <c r="R439" i="4"/>
  <c r="R423" i="4"/>
  <c r="R407" i="4"/>
  <c r="R391" i="4"/>
  <c r="R375" i="4"/>
  <c r="R359" i="4"/>
  <c r="R343" i="4"/>
  <c r="R327" i="4"/>
  <c r="R311" i="4"/>
  <c r="R295" i="4"/>
  <c r="R279" i="4"/>
  <c r="R263" i="4"/>
  <c r="R247" i="4"/>
  <c r="R231" i="4"/>
  <c r="R215" i="4"/>
  <c r="R199" i="4"/>
  <c r="R183" i="4"/>
  <c r="R167" i="4"/>
  <c r="R151" i="4"/>
  <c r="R135" i="4"/>
  <c r="R119" i="4"/>
  <c r="R103" i="4"/>
  <c r="R87" i="4"/>
  <c r="R71" i="4"/>
  <c r="R55" i="4"/>
  <c r="R39" i="4"/>
  <c r="R23" i="4"/>
  <c r="R7" i="4"/>
  <c r="R2" i="4"/>
  <c r="R466" i="4"/>
  <c r="R488" i="4"/>
  <c r="R472" i="4"/>
  <c r="R456" i="4"/>
  <c r="R440" i="4"/>
  <c r="R424" i="4"/>
  <c r="R408" i="4"/>
  <c r="R392" i="4"/>
  <c r="R376" i="4"/>
  <c r="R360" i="4"/>
  <c r="R344" i="4"/>
  <c r="R328" i="4"/>
  <c r="R312" i="4"/>
  <c r="R296" i="4"/>
  <c r="R280" i="4"/>
  <c r="R264" i="4"/>
  <c r="R248" i="4"/>
  <c r="R232" i="4"/>
  <c r="R216" i="4"/>
  <c r="R200" i="4"/>
  <c r="R184" i="4"/>
  <c r="R168" i="4"/>
  <c r="R152" i="4"/>
  <c r="R136" i="4"/>
  <c r="R120" i="4"/>
  <c r="R104" i="4"/>
  <c r="R88" i="4"/>
  <c r="R72" i="4"/>
  <c r="R56" i="4"/>
  <c r="R40" i="4"/>
  <c r="R24" i="4"/>
  <c r="R8" i="4"/>
  <c r="R31" i="4"/>
  <c r="R63" i="4"/>
  <c r="R95" i="4"/>
  <c r="R127" i="4"/>
  <c r="R159" i="4"/>
  <c r="R191" i="4"/>
  <c r="R223" i="4"/>
  <c r="R255" i="4"/>
  <c r="R287" i="4"/>
  <c r="R319" i="4"/>
  <c r="R351" i="4"/>
  <c r="R383" i="4"/>
  <c r="R415" i="4"/>
  <c r="R447" i="4"/>
  <c r="R479" i="4"/>
  <c r="R6" i="4"/>
  <c r="R38" i="4"/>
  <c r="R70" i="4"/>
  <c r="R102" i="4"/>
  <c r="R134" i="4"/>
  <c r="R166" i="4"/>
  <c r="R198" i="4"/>
  <c r="R230" i="4"/>
  <c r="R262" i="4"/>
  <c r="R294" i="4"/>
  <c r="R326" i="4"/>
  <c r="R358" i="4"/>
  <c r="R390" i="4"/>
  <c r="R422" i="4"/>
  <c r="R454" i="4"/>
  <c r="R13" i="4"/>
  <c r="R45" i="4"/>
  <c r="R77" i="4"/>
  <c r="R109" i="4"/>
  <c r="R141" i="4"/>
  <c r="R173" i="4"/>
  <c r="R205" i="4"/>
  <c r="R237" i="4"/>
  <c r="R269" i="4"/>
  <c r="R301" i="4"/>
  <c r="R333" i="4"/>
  <c r="R365" i="4"/>
  <c r="R397" i="4"/>
  <c r="R429" i="4"/>
  <c r="R461" i="4"/>
  <c r="R493" i="4"/>
  <c r="R27" i="4"/>
  <c r="R59" i="4"/>
  <c r="R91" i="4"/>
  <c r="R123" i="4"/>
  <c r="R155" i="4"/>
  <c r="R187" i="4"/>
  <c r="R219" i="4"/>
  <c r="R251" i="4"/>
  <c r="R283" i="4"/>
  <c r="R315" i="4"/>
  <c r="R347" i="4"/>
  <c r="R379" i="4"/>
  <c r="R411" i="4"/>
  <c r="R443" i="4"/>
  <c r="R475" i="4"/>
  <c r="R490" i="4"/>
  <c r="R34" i="4"/>
  <c r="R66" i="4"/>
  <c r="R98" i="4"/>
  <c r="R130" i="4"/>
  <c r="R162" i="4"/>
  <c r="R194" i="4"/>
  <c r="R226" i="4"/>
  <c r="R258" i="4"/>
  <c r="R290" i="4"/>
  <c r="R322" i="4"/>
  <c r="R354" i="4"/>
  <c r="R386" i="4"/>
  <c r="R418" i="4"/>
  <c r="R450" i="4"/>
  <c r="R9" i="4"/>
  <c r="R41" i="4"/>
  <c r="R73" i="4"/>
  <c r="R105" i="4"/>
  <c r="R137" i="4"/>
  <c r="R169" i="4"/>
  <c r="R201" i="4"/>
  <c r="R233" i="4"/>
  <c r="R265" i="4"/>
  <c r="R297" i="4"/>
  <c r="R329" i="4"/>
  <c r="R361" i="4"/>
  <c r="R393" i="4"/>
  <c r="R425" i="4"/>
  <c r="R457" i="4"/>
  <c r="R489" i="4"/>
  <c r="R16" i="4"/>
  <c r="R80" i="4"/>
  <c r="R144" i="4"/>
  <c r="R208" i="4"/>
  <c r="R272" i="4"/>
  <c r="R336" i="4"/>
  <c r="R400" i="4"/>
  <c r="R464" i="4"/>
  <c r="R12" i="4"/>
  <c r="R76" i="4"/>
  <c r="R140" i="4"/>
  <c r="R204" i="4"/>
  <c r="R268" i="4"/>
  <c r="R332" i="4"/>
  <c r="R396" i="4"/>
  <c r="R460" i="4"/>
  <c r="R64" i="4"/>
  <c r="R128" i="4"/>
  <c r="R192" i="4"/>
  <c r="R256" i="4"/>
  <c r="R320" i="4"/>
  <c r="R384" i="4"/>
  <c r="R448" i="4"/>
  <c r="R15" i="4"/>
  <c r="R79" i="4"/>
  <c r="R175" i="4"/>
  <c r="R239" i="4"/>
  <c r="R303" i="4"/>
  <c r="R367" i="4"/>
  <c r="R399" i="4"/>
  <c r="R463" i="4"/>
  <c r="R495" i="4"/>
  <c r="R22" i="4"/>
  <c r="R54" i="4"/>
  <c r="R86" i="4"/>
  <c r="R118" i="4"/>
  <c r="R150" i="4"/>
  <c r="R182" i="4"/>
  <c r="R214" i="4"/>
  <c r="R246" i="4"/>
  <c r="R278" i="4"/>
  <c r="R310" i="4"/>
  <c r="R342" i="4"/>
  <c r="R374" i="4"/>
  <c r="R406" i="4"/>
  <c r="R438" i="4"/>
  <c r="R482" i="4"/>
  <c r="R29" i="4"/>
  <c r="R61" i="4"/>
  <c r="R93" i="4"/>
  <c r="R125" i="4"/>
  <c r="R157" i="4"/>
  <c r="R189" i="4"/>
  <c r="R221" i="4"/>
  <c r="R253" i="4"/>
  <c r="R285" i="4"/>
  <c r="R317" i="4"/>
  <c r="R349" i="4"/>
  <c r="R381" i="4"/>
  <c r="R413" i="4"/>
  <c r="R445" i="4"/>
  <c r="R477" i="4"/>
  <c r="R48" i="4"/>
  <c r="R112" i="4"/>
  <c r="R176" i="4"/>
  <c r="R240" i="4"/>
  <c r="R304" i="4"/>
  <c r="R368" i="4"/>
  <c r="R432" i="4"/>
  <c r="R496" i="4"/>
  <c r="R44" i="4"/>
  <c r="R108" i="4"/>
  <c r="R172" i="4"/>
  <c r="R236" i="4"/>
  <c r="R300" i="4"/>
  <c r="R364" i="4"/>
  <c r="R428" i="4"/>
  <c r="R492" i="4"/>
  <c r="R32" i="4"/>
  <c r="R96" i="4"/>
  <c r="R160" i="4"/>
  <c r="R224" i="4"/>
  <c r="R288" i="4"/>
  <c r="R352" i="4"/>
  <c r="R416" i="4"/>
  <c r="R480" i="4"/>
  <c r="R486" i="4"/>
  <c r="R47" i="4"/>
  <c r="R111" i="4"/>
  <c r="R143" i="4"/>
  <c r="R207" i="4"/>
  <c r="R271" i="4"/>
  <c r="R335" i="4"/>
  <c r="R431" i="4"/>
  <c r="R28" i="4"/>
  <c r="R60" i="4"/>
  <c r="R92" i="4"/>
  <c r="R124" i="4"/>
  <c r="R156" i="4"/>
  <c r="R188" i="4"/>
  <c r="R220" i="4"/>
  <c r="R252" i="4"/>
  <c r="R284" i="4"/>
  <c r="R316" i="4"/>
  <c r="R348" i="4"/>
  <c r="R380" i="4"/>
  <c r="R412" i="4"/>
  <c r="R444" i="4"/>
  <c r="R476" i="4"/>
  <c r="R478" i="4"/>
  <c r="R11" i="4"/>
  <c r="R43" i="4"/>
  <c r="R75" i="4"/>
  <c r="R107" i="4"/>
  <c r="R139" i="4"/>
  <c r="R171" i="4"/>
  <c r="R203" i="4"/>
  <c r="R235" i="4"/>
  <c r="R267" i="4"/>
  <c r="R299" i="4"/>
  <c r="R331" i="4"/>
  <c r="R363" i="4"/>
  <c r="R395" i="4"/>
  <c r="R427" i="4"/>
  <c r="R459" i="4"/>
  <c r="R491" i="4"/>
  <c r="R18" i="4"/>
  <c r="R50" i="4"/>
  <c r="R82" i="4"/>
  <c r="R114" i="4"/>
  <c r="R146" i="4"/>
  <c r="R178" i="4"/>
  <c r="R210" i="4"/>
  <c r="R242" i="4"/>
  <c r="R274" i="4"/>
  <c r="R306" i="4"/>
  <c r="R338" i="4"/>
  <c r="R370" i="4"/>
  <c r="R402" i="4"/>
  <c r="R434" i="4"/>
  <c r="R470" i="4"/>
  <c r="R25" i="4"/>
  <c r="R57" i="4"/>
  <c r="R89" i="4"/>
  <c r="R121" i="4"/>
  <c r="R153" i="4"/>
  <c r="R185" i="4"/>
  <c r="R217" i="4"/>
  <c r="R249" i="4"/>
  <c r="R281" i="4"/>
  <c r="R313" i="4"/>
  <c r="R345" i="4"/>
  <c r="R377" i="4"/>
  <c r="R409" i="4"/>
  <c r="R441" i="4"/>
  <c r="R473" i="4"/>
  <c r="Q10" i="4"/>
  <c r="Q50" i="4"/>
  <c r="Q58" i="4"/>
  <c r="Q66" i="4"/>
  <c r="Q74" i="4"/>
  <c r="Q82" i="4"/>
  <c r="Q90" i="4"/>
  <c r="Q98" i="4"/>
  <c r="Q106" i="4"/>
  <c r="Q114" i="4"/>
  <c r="Q122" i="4"/>
  <c r="Q130" i="4"/>
  <c r="Q138" i="4"/>
  <c r="Q146" i="4"/>
  <c r="Q154" i="4"/>
  <c r="Q162" i="4"/>
  <c r="Q170" i="4"/>
  <c r="Q178" i="4"/>
  <c r="Q186" i="4"/>
  <c r="Q194" i="4"/>
  <c r="Q202" i="4"/>
  <c r="Q210" i="4"/>
  <c r="Q218" i="4"/>
  <c r="Q226" i="4"/>
  <c r="Q234" i="4"/>
  <c r="Q242" i="4"/>
  <c r="Q250" i="4"/>
  <c r="Q258" i="4"/>
  <c r="Q266" i="4"/>
  <c r="Q274" i="4"/>
  <c r="Q282" i="4"/>
  <c r="Q290" i="4"/>
  <c r="Q298" i="4"/>
  <c r="Q306" i="4"/>
  <c r="Q314" i="4"/>
  <c r="Q322" i="4"/>
  <c r="Q330" i="4"/>
  <c r="Q338" i="4"/>
  <c r="Q346" i="4"/>
  <c r="Q354" i="4"/>
  <c r="Q362" i="4"/>
  <c r="Q370" i="4"/>
  <c r="Q378" i="4"/>
  <c r="Q386" i="4"/>
  <c r="Q394" i="4"/>
  <c r="Q402" i="4"/>
  <c r="Q410" i="4"/>
  <c r="Q418" i="4"/>
  <c r="Q426" i="4"/>
  <c r="Q434" i="4"/>
  <c r="Q442" i="4"/>
  <c r="Q450" i="4"/>
  <c r="Q458" i="4"/>
  <c r="Q466" i="4"/>
  <c r="Q474" i="4"/>
  <c r="Q482" i="4"/>
  <c r="Q490" i="4"/>
  <c r="Q498" i="4"/>
  <c r="Q9" i="4"/>
  <c r="Q17" i="4"/>
  <c r="Q25" i="4"/>
  <c r="Q33" i="4"/>
  <c r="Q41" i="4"/>
  <c r="Q49" i="4"/>
  <c r="Q57" i="4"/>
  <c r="Q65" i="4"/>
  <c r="Q73" i="4"/>
  <c r="Q81" i="4"/>
  <c r="Q89" i="4"/>
  <c r="Q97" i="4"/>
  <c r="Q105" i="4"/>
  <c r="Q113" i="4"/>
  <c r="Q121" i="4"/>
  <c r="Q129" i="4"/>
  <c r="Q137" i="4"/>
  <c r="Q145" i="4"/>
  <c r="Q153" i="4"/>
  <c r="Q161" i="4"/>
  <c r="Q169" i="4"/>
  <c r="Q177" i="4"/>
  <c r="Q185" i="4"/>
  <c r="Q193" i="4"/>
  <c r="Q201" i="4"/>
  <c r="Q209" i="4"/>
  <c r="Q217" i="4"/>
  <c r="Q225" i="4"/>
  <c r="Q233" i="4"/>
  <c r="Q241" i="4"/>
  <c r="Q249" i="4"/>
  <c r="Q257" i="4"/>
  <c r="Q265" i="4"/>
  <c r="Q273" i="4"/>
  <c r="Q281" i="4"/>
  <c r="Q289" i="4"/>
  <c r="Q297" i="4"/>
  <c r="Q305" i="4"/>
  <c r="Q313" i="4"/>
  <c r="Q321" i="4"/>
  <c r="Q329" i="4"/>
  <c r="Q337" i="4"/>
  <c r="Q345" i="4"/>
  <c r="Q353" i="4"/>
  <c r="Q361" i="4"/>
  <c r="Q369" i="4"/>
  <c r="Q377" i="4"/>
  <c r="Q385" i="4"/>
  <c r="Q393" i="4"/>
  <c r="Q401" i="4"/>
  <c r="Q409" i="4"/>
  <c r="Q417" i="4"/>
  <c r="Q425" i="4"/>
  <c r="Q433" i="4"/>
  <c r="Q441" i="4"/>
  <c r="Q449" i="4"/>
  <c r="Q457" i="4"/>
  <c r="Q465" i="4"/>
  <c r="Q473" i="4"/>
  <c r="Q481" i="4"/>
  <c r="Q489" i="4"/>
  <c r="Q497" i="4"/>
  <c r="Q4" i="4"/>
  <c r="Q12" i="4"/>
  <c r="Q20" i="4"/>
  <c r="Q28" i="4"/>
  <c r="Q36" i="4"/>
  <c r="Q44" i="4"/>
  <c r="Q52" i="4"/>
  <c r="Q60" i="4"/>
  <c r="Q68" i="4"/>
  <c r="Q76" i="4"/>
  <c r="Q84" i="4"/>
  <c r="Q92" i="4"/>
  <c r="Q100" i="4"/>
  <c r="Q108" i="4"/>
  <c r="Q116" i="4"/>
  <c r="Q124" i="4"/>
  <c r="Q132" i="4"/>
  <c r="Q140" i="4"/>
  <c r="Q148" i="4"/>
  <c r="Q156" i="4"/>
  <c r="Q164" i="4"/>
  <c r="Q172" i="4"/>
  <c r="Q180" i="4"/>
  <c r="Q188" i="4"/>
  <c r="Q196" i="4"/>
  <c r="Q204" i="4"/>
  <c r="Q212" i="4"/>
  <c r="Q220" i="4"/>
  <c r="Q228" i="4"/>
  <c r="Q236" i="4"/>
  <c r="Q244" i="4"/>
  <c r="Q252" i="4"/>
  <c r="Q260" i="4"/>
  <c r="Q268" i="4"/>
  <c r="Q276" i="4"/>
  <c r="Q284" i="4"/>
  <c r="Q292" i="4"/>
  <c r="Q300" i="4"/>
  <c r="Q308" i="4"/>
  <c r="Q316" i="4"/>
  <c r="Q324" i="4"/>
  <c r="Q332" i="4"/>
  <c r="Q340" i="4"/>
  <c r="Q348" i="4"/>
  <c r="Q356" i="4"/>
  <c r="Q364" i="4"/>
  <c r="Q372" i="4"/>
  <c r="Q380" i="4"/>
  <c r="Q388" i="4"/>
  <c r="Q396" i="4"/>
  <c r="Q404" i="4"/>
  <c r="Q412" i="4"/>
  <c r="Q420" i="4"/>
  <c r="Q428" i="4"/>
  <c r="Q436" i="4"/>
  <c r="Q444" i="4"/>
  <c r="Q452" i="4"/>
  <c r="Q460" i="4"/>
  <c r="Q468" i="4"/>
  <c r="Q476" i="4"/>
  <c r="Q484" i="4"/>
  <c r="Q492" i="4"/>
  <c r="Q500" i="4"/>
  <c r="Q7" i="4"/>
  <c r="Q15" i="4"/>
  <c r="Q23" i="4"/>
  <c r="Q31" i="4"/>
  <c r="Q39" i="4"/>
  <c r="Q47" i="4"/>
  <c r="Q55" i="4"/>
  <c r="Q63" i="4"/>
  <c r="Q71" i="4"/>
  <c r="Q79" i="4"/>
  <c r="Q87" i="4"/>
  <c r="Q95" i="4"/>
  <c r="Q103" i="4"/>
  <c r="Q111" i="4"/>
  <c r="Q119" i="4"/>
  <c r="Q127" i="4"/>
  <c r="Q135" i="4"/>
  <c r="Q143" i="4"/>
  <c r="Q151" i="4"/>
  <c r="Q159" i="4"/>
  <c r="Q167" i="4"/>
  <c r="Q175" i="4"/>
  <c r="Q183" i="4"/>
  <c r="Q191" i="4"/>
  <c r="Q199" i="4"/>
  <c r="Q207" i="4"/>
  <c r="Q215" i="4"/>
  <c r="Q223" i="4"/>
  <c r="Q231" i="4"/>
  <c r="Q239" i="4"/>
  <c r="Q247" i="4"/>
  <c r="Q255" i="4"/>
  <c r="Q263" i="4"/>
  <c r="Q271" i="4"/>
  <c r="Q279" i="4"/>
  <c r="Q287" i="4"/>
  <c r="Q295" i="4"/>
  <c r="Q303" i="4"/>
  <c r="Q311" i="4"/>
  <c r="Q319" i="4"/>
  <c r="Q327" i="4"/>
  <c r="Q335" i="4"/>
  <c r="Q343" i="4"/>
  <c r="Q351" i="4"/>
  <c r="Q359" i="4"/>
  <c r="Q367" i="4"/>
  <c r="Q375" i="4"/>
  <c r="Q383" i="4"/>
  <c r="Q391" i="4"/>
  <c r="Q399" i="4"/>
  <c r="Q407" i="4"/>
  <c r="Q415" i="4"/>
  <c r="Q423" i="4"/>
  <c r="Q431" i="4"/>
  <c r="Q439" i="4"/>
  <c r="Q447" i="4"/>
  <c r="Q455" i="4"/>
  <c r="Q463" i="4"/>
  <c r="Q471" i="4"/>
  <c r="Q479" i="4"/>
  <c r="Q487" i="4"/>
  <c r="Q495" i="4"/>
  <c r="Q2" i="4"/>
  <c r="P508" i="4"/>
  <c r="S22" i="4" s="1"/>
  <c r="P509" i="4"/>
  <c r="Q18" i="4"/>
  <c r="Q26" i="4"/>
  <c r="Q34" i="4"/>
  <c r="S42" i="4" l="1"/>
  <c r="S475" i="4"/>
  <c r="S443" i="4"/>
  <c r="S411" i="4"/>
  <c r="S379" i="4"/>
  <c r="S347" i="4"/>
  <c r="S315" i="4"/>
  <c r="S283" i="4"/>
  <c r="S251" i="4"/>
  <c r="S219" i="4"/>
  <c r="S187" i="4"/>
  <c r="S155" i="4"/>
  <c r="S123" i="4"/>
  <c r="S91" i="4"/>
  <c r="S59" i="4"/>
  <c r="S27" i="4"/>
  <c r="S496" i="4"/>
  <c r="S464" i="4"/>
  <c r="S432" i="4"/>
  <c r="S400" i="4"/>
  <c r="S368" i="4"/>
  <c r="S336" i="4"/>
  <c r="S304" i="4"/>
  <c r="S272" i="4"/>
  <c r="S240" i="4"/>
  <c r="S200" i="4"/>
  <c r="S168" i="4"/>
  <c r="S136" i="4"/>
  <c r="S104" i="4"/>
  <c r="S72" i="4"/>
  <c r="S40" i="4"/>
  <c r="S501" i="4"/>
  <c r="S429" i="4"/>
  <c r="S373" i="4"/>
  <c r="S309" i="4"/>
  <c r="S213" i="4"/>
  <c r="S85" i="4"/>
  <c r="S454" i="4"/>
  <c r="S326" i="4"/>
  <c r="S198" i="4"/>
  <c r="S70" i="4"/>
  <c r="S301" i="4"/>
  <c r="S173" i="4"/>
  <c r="S45" i="4"/>
  <c r="S414" i="4"/>
  <c r="S286" i="4"/>
  <c r="S158" i="4"/>
  <c r="S38" i="4"/>
  <c r="S229" i="4"/>
  <c r="S101" i="4"/>
  <c r="S470" i="4"/>
  <c r="S342" i="4"/>
  <c r="S214" i="4"/>
  <c r="S86" i="4"/>
  <c r="S189" i="4"/>
  <c r="S61" i="4"/>
  <c r="S430" i="4"/>
  <c r="S302" i="4"/>
  <c r="S174" i="4"/>
  <c r="S46" i="4"/>
  <c r="S471" i="4"/>
  <c r="S407" i="4"/>
  <c r="S343" i="4"/>
  <c r="S279" i="4"/>
  <c r="S215" i="4"/>
  <c r="S151" i="4"/>
  <c r="S87" i="4"/>
  <c r="S23" i="4"/>
  <c r="S460" i="4"/>
  <c r="S396" i="4"/>
  <c r="S332" i="4"/>
  <c r="S236" i="4"/>
  <c r="S172" i="4"/>
  <c r="S108" i="4"/>
  <c r="S44" i="4"/>
  <c r="S12" i="4"/>
  <c r="S449" i="4"/>
  <c r="S385" i="4"/>
  <c r="S321" i="4"/>
  <c r="S257" i="4"/>
  <c r="S193" i="4"/>
  <c r="S129" i="4"/>
  <c r="S65" i="4"/>
  <c r="S498" i="4"/>
  <c r="S434" i="4"/>
  <c r="S370" i="4"/>
  <c r="S306" i="4"/>
  <c r="S242" i="4"/>
  <c r="S178" i="4"/>
  <c r="S114" i="4"/>
  <c r="S50" i="4"/>
  <c r="S405" i="4"/>
  <c r="S479" i="4"/>
  <c r="S415" i="4"/>
  <c r="S351" i="4"/>
  <c r="S287" i="4"/>
  <c r="S223" i="4"/>
  <c r="S159" i="4"/>
  <c r="S95" i="4"/>
  <c r="S31" i="4"/>
  <c r="S468" i="4"/>
  <c r="S436" i="4"/>
  <c r="S372" i="4"/>
  <c r="S308" i="4"/>
  <c r="S244" i="4"/>
  <c r="S180" i="4"/>
  <c r="S116" i="4"/>
  <c r="S52" i="4"/>
  <c r="S489" i="4"/>
  <c r="S425" i="4"/>
  <c r="S361" i="4"/>
  <c r="S265" i="4"/>
  <c r="S201" i="4"/>
  <c r="S137" i="4"/>
  <c r="S73" i="4"/>
  <c r="S9" i="4"/>
  <c r="S442" i="4"/>
  <c r="S378" i="4"/>
  <c r="S314" i="4"/>
  <c r="S250" i="4"/>
  <c r="S218" i="4"/>
  <c r="S154" i="4"/>
  <c r="S122" i="4"/>
  <c r="S90" i="4"/>
  <c r="S58" i="4"/>
  <c r="S493" i="4"/>
  <c r="S421" i="4"/>
  <c r="S455" i="4"/>
  <c r="S391" i="4"/>
  <c r="S327" i="4"/>
  <c r="S263" i="4"/>
  <c r="S199" i="4"/>
  <c r="S135" i="4"/>
  <c r="S71" i="4"/>
  <c r="S7" i="4"/>
  <c r="S412" i="4"/>
  <c r="S348" i="4"/>
  <c r="S284" i="4"/>
  <c r="S220" i="4"/>
  <c r="S156" i="4"/>
  <c r="S124" i="4"/>
  <c r="S60" i="4"/>
  <c r="S28" i="4"/>
  <c r="S497" i="4"/>
  <c r="S465" i="4"/>
  <c r="S433" i="4"/>
  <c r="S401" i="4"/>
  <c r="S369" i="4"/>
  <c r="S337" i="4"/>
  <c r="S305" i="4"/>
  <c r="S273" i="4"/>
  <c r="S241" i="4"/>
  <c r="S209" i="4"/>
  <c r="S177" i="4"/>
  <c r="S145" i="4"/>
  <c r="S113" i="4"/>
  <c r="S81" i="4"/>
  <c r="S49" i="4"/>
  <c r="S17" i="4"/>
  <c r="S482" i="4"/>
  <c r="S450" i="4"/>
  <c r="S418" i="4"/>
  <c r="S386" i="4"/>
  <c r="S354" i="4"/>
  <c r="S322" i="4"/>
  <c r="S290" i="4"/>
  <c r="S258" i="4"/>
  <c r="S226" i="4"/>
  <c r="S194" i="4"/>
  <c r="S162" i="4"/>
  <c r="S130" i="4"/>
  <c r="S98" i="4"/>
  <c r="S66" i="4"/>
  <c r="S16" i="4"/>
  <c r="S445" i="4"/>
  <c r="S365" i="4"/>
  <c r="S293" i="4"/>
  <c r="S18" i="4"/>
  <c r="S483" i="4"/>
  <c r="S451" i="4"/>
  <c r="S419" i="4"/>
  <c r="S387" i="4"/>
  <c r="S355" i="4"/>
  <c r="S323" i="4"/>
  <c r="S291" i="4"/>
  <c r="S259" i="4"/>
  <c r="S227" i="4"/>
  <c r="S195" i="4"/>
  <c r="S163" i="4"/>
  <c r="S131" i="4"/>
  <c r="S99" i="4"/>
  <c r="S67" i="4"/>
  <c r="S35" i="4"/>
  <c r="S3" i="4"/>
  <c r="S472" i="4"/>
  <c r="S440" i="4"/>
  <c r="S408" i="4"/>
  <c r="S376" i="4"/>
  <c r="S344" i="4"/>
  <c r="S312" i="4"/>
  <c r="S280" i="4"/>
  <c r="S248" i="4"/>
  <c r="S208" i="4"/>
  <c r="S176" i="4"/>
  <c r="S144" i="4"/>
  <c r="S112" i="4"/>
  <c r="S80" i="4"/>
  <c r="S48" i="4"/>
  <c r="S8" i="4"/>
  <c r="S453" i="4"/>
  <c r="S389" i="4"/>
  <c r="S325" i="4"/>
  <c r="S245" i="4"/>
  <c r="S117" i="4"/>
  <c r="S486" i="4"/>
  <c r="S358" i="4"/>
  <c r="S230" i="4"/>
  <c r="S102" i="4"/>
  <c r="S205" i="4"/>
  <c r="S77" i="4"/>
  <c r="S446" i="4"/>
  <c r="S318" i="4"/>
  <c r="S190" i="4"/>
  <c r="S62" i="4"/>
  <c r="S261" i="4"/>
  <c r="S133" i="4"/>
  <c r="S5" i="4"/>
  <c r="S374" i="4"/>
  <c r="S246" i="4"/>
  <c r="S118" i="4"/>
  <c r="S221" i="4"/>
  <c r="S93" i="4"/>
  <c r="S462" i="4"/>
  <c r="S334" i="4"/>
  <c r="S206" i="4"/>
  <c r="S78" i="4"/>
  <c r="S439" i="4"/>
  <c r="S375" i="4"/>
  <c r="S311" i="4"/>
  <c r="S247" i="4"/>
  <c r="S183" i="4"/>
  <c r="S119" i="4"/>
  <c r="S55" i="4"/>
  <c r="S492" i="4"/>
  <c r="S428" i="4"/>
  <c r="S364" i="4"/>
  <c r="S300" i="4"/>
  <c r="S268" i="4"/>
  <c r="S204" i="4"/>
  <c r="S140" i="4"/>
  <c r="S76" i="4"/>
  <c r="S481" i="4"/>
  <c r="S417" i="4"/>
  <c r="S353" i="4"/>
  <c r="S289" i="4"/>
  <c r="S225" i="4"/>
  <c r="S161" i="4"/>
  <c r="S97" i="4"/>
  <c r="S33" i="4"/>
  <c r="S466" i="4"/>
  <c r="S402" i="4"/>
  <c r="S338" i="4"/>
  <c r="S274" i="4"/>
  <c r="S210" i="4"/>
  <c r="S146" i="4"/>
  <c r="S82" i="4"/>
  <c r="S10" i="4"/>
  <c r="S477" i="4"/>
  <c r="S333" i="4"/>
  <c r="S447" i="4"/>
  <c r="S383" i="4"/>
  <c r="S319" i="4"/>
  <c r="S255" i="4"/>
  <c r="S191" i="4"/>
  <c r="S127" i="4"/>
  <c r="S63" i="4"/>
  <c r="S500" i="4"/>
  <c r="S404" i="4"/>
  <c r="S340" i="4"/>
  <c r="S276" i="4"/>
  <c r="S212" i="4"/>
  <c r="S148" i="4"/>
  <c r="S84" i="4"/>
  <c r="S20" i="4"/>
  <c r="S457" i="4"/>
  <c r="S393" i="4"/>
  <c r="S329" i="4"/>
  <c r="S297" i="4"/>
  <c r="S233" i="4"/>
  <c r="S169" i="4"/>
  <c r="S105" i="4"/>
  <c r="S41" i="4"/>
  <c r="S474" i="4"/>
  <c r="S410" i="4"/>
  <c r="S346" i="4"/>
  <c r="S282" i="4"/>
  <c r="S186" i="4"/>
  <c r="S349" i="4"/>
  <c r="S487" i="4"/>
  <c r="S423" i="4"/>
  <c r="S359" i="4"/>
  <c r="S295" i="4"/>
  <c r="S231" i="4"/>
  <c r="S167" i="4"/>
  <c r="S103" i="4"/>
  <c r="S39" i="4"/>
  <c r="S476" i="4"/>
  <c r="S444" i="4"/>
  <c r="S380" i="4"/>
  <c r="S316" i="4"/>
  <c r="S252" i="4"/>
  <c r="S188" i="4"/>
  <c r="S92" i="4"/>
  <c r="S495" i="4"/>
  <c r="S463" i="4"/>
  <c r="S431" i="4"/>
  <c r="S399" i="4"/>
  <c r="S367" i="4"/>
  <c r="S335" i="4"/>
  <c r="S303" i="4"/>
  <c r="S271" i="4"/>
  <c r="S239" i="4"/>
  <c r="S207" i="4"/>
  <c r="S175" i="4"/>
  <c r="S143" i="4"/>
  <c r="S111" i="4"/>
  <c r="S79" i="4"/>
  <c r="S47" i="4"/>
  <c r="S15" i="4"/>
  <c r="S484" i="4"/>
  <c r="S452" i="4"/>
  <c r="S420" i="4"/>
  <c r="S388" i="4"/>
  <c r="S356" i="4"/>
  <c r="S324" i="4"/>
  <c r="S292" i="4"/>
  <c r="S260" i="4"/>
  <c r="S228" i="4"/>
  <c r="S196" i="4"/>
  <c r="S164" i="4"/>
  <c r="S132" i="4"/>
  <c r="S100" i="4"/>
  <c r="S68" i="4"/>
  <c r="S36" i="4"/>
  <c r="S4" i="4"/>
  <c r="S473" i="4"/>
  <c r="S441" i="4"/>
  <c r="S409" i="4"/>
  <c r="S377" i="4"/>
  <c r="S345" i="4"/>
  <c r="S313" i="4"/>
  <c r="S281" i="4"/>
  <c r="S249" i="4"/>
  <c r="S217" i="4"/>
  <c r="S185" i="4"/>
  <c r="S153" i="4"/>
  <c r="S121" i="4"/>
  <c r="S89" i="4"/>
  <c r="S57" i="4"/>
  <c r="S25" i="4"/>
  <c r="S490" i="4"/>
  <c r="S458" i="4"/>
  <c r="S426" i="4"/>
  <c r="S394" i="4"/>
  <c r="S362" i="4"/>
  <c r="S330" i="4"/>
  <c r="S298" i="4"/>
  <c r="S266" i="4"/>
  <c r="S234" i="4"/>
  <c r="S202" i="4"/>
  <c r="S170" i="4"/>
  <c r="S138" i="4"/>
  <c r="S106" i="4"/>
  <c r="S74" i="4"/>
  <c r="S216" i="4"/>
  <c r="S461" i="4"/>
  <c r="S381" i="4"/>
  <c r="S317" i="4"/>
  <c r="S2" i="4"/>
  <c r="S26" i="4"/>
  <c r="S491" i="4"/>
  <c r="S459" i="4"/>
  <c r="S427" i="4"/>
  <c r="S395" i="4"/>
  <c r="S363" i="4"/>
  <c r="S331" i="4"/>
  <c r="S299" i="4"/>
  <c r="S267" i="4"/>
  <c r="S235" i="4"/>
  <c r="S203" i="4"/>
  <c r="S171" i="4"/>
  <c r="S139" i="4"/>
  <c r="S107" i="4"/>
  <c r="S75" i="4"/>
  <c r="S43" i="4"/>
  <c r="S11" i="4"/>
  <c r="S480" i="4"/>
  <c r="S448" i="4"/>
  <c r="S416" i="4"/>
  <c r="S384" i="4"/>
  <c r="S352" i="4"/>
  <c r="S320" i="4"/>
  <c r="S288" i="4"/>
  <c r="S256" i="4"/>
  <c r="S224" i="4"/>
  <c r="S184" i="4"/>
  <c r="S152" i="4"/>
  <c r="S120" i="4"/>
  <c r="S88" i="4"/>
  <c r="S56" i="4"/>
  <c r="S24" i="4"/>
  <c r="S469" i="4"/>
  <c r="S397" i="4"/>
  <c r="S341" i="4"/>
  <c r="S277" i="4"/>
  <c r="S149" i="4"/>
  <c r="S21" i="4"/>
  <c r="S390" i="4"/>
  <c r="S262" i="4"/>
  <c r="S134" i="4"/>
  <c r="S237" i="4"/>
  <c r="S109" i="4"/>
  <c r="S478" i="4"/>
  <c r="S350" i="4"/>
  <c r="S222" i="4"/>
  <c r="S94" i="4"/>
  <c r="S165" i="4"/>
  <c r="S37" i="4"/>
  <c r="S406" i="4"/>
  <c r="S278" i="4"/>
  <c r="S150" i="4"/>
  <c r="S30" i="4"/>
  <c r="S253" i="4"/>
  <c r="S125" i="4"/>
  <c r="S494" i="4"/>
  <c r="S366" i="4"/>
  <c r="S238" i="4"/>
  <c r="S110" i="4"/>
  <c r="S14" i="4"/>
  <c r="S34" i="4"/>
  <c r="S499" i="4"/>
  <c r="S467" i="4"/>
  <c r="S435" i="4"/>
  <c r="S403" i="4"/>
  <c r="S371" i="4"/>
  <c r="S339" i="4"/>
  <c r="S307" i="4"/>
  <c r="S275" i="4"/>
  <c r="S243" i="4"/>
  <c r="S211" i="4"/>
  <c r="S179" i="4"/>
  <c r="S147" i="4"/>
  <c r="S115" i="4"/>
  <c r="S83" i="4"/>
  <c r="S51" i="4"/>
  <c r="S19" i="4"/>
  <c r="S488" i="4"/>
  <c r="S456" i="4"/>
  <c r="S424" i="4"/>
  <c r="S392" i="4"/>
  <c r="S360" i="4"/>
  <c r="S328" i="4"/>
  <c r="S296" i="4"/>
  <c r="S264" i="4"/>
  <c r="S232" i="4"/>
  <c r="S192" i="4"/>
  <c r="S160" i="4"/>
  <c r="S128" i="4"/>
  <c r="S96" i="4"/>
  <c r="S64" i="4"/>
  <c r="S32" i="4"/>
  <c r="S485" i="4"/>
  <c r="S413" i="4"/>
  <c r="S357" i="4"/>
  <c r="S437" i="4"/>
  <c r="S181" i="4"/>
  <c r="S53" i="4"/>
  <c r="S422" i="4"/>
  <c r="S294" i="4"/>
  <c r="S166" i="4"/>
  <c r="S6" i="4"/>
  <c r="S269" i="4"/>
  <c r="S141" i="4"/>
  <c r="S13" i="4"/>
  <c r="S382" i="4"/>
  <c r="S254" i="4"/>
  <c r="S126" i="4"/>
  <c r="S197" i="4"/>
  <c r="S69" i="4"/>
  <c r="S438" i="4"/>
  <c r="S310" i="4"/>
  <c r="S182" i="4"/>
  <c r="S54" i="4"/>
  <c r="S285" i="4"/>
  <c r="S157" i="4"/>
  <c r="S29" i="4"/>
  <c r="S398" i="4"/>
  <c r="S270" i="4"/>
  <c r="S142" i="4"/>
</calcChain>
</file>

<file path=xl/sharedStrings.xml><?xml version="1.0" encoding="utf-8"?>
<sst xmlns="http://schemas.openxmlformats.org/spreadsheetml/2006/main" count="225" uniqueCount="84">
  <si>
    <t>Product_ID</t>
  </si>
  <si>
    <t>Product_Name</t>
  </si>
  <si>
    <t>Category</t>
  </si>
  <si>
    <t>Unit_Cost</t>
  </si>
  <si>
    <t>Unit_Price</t>
  </si>
  <si>
    <t>Headphones</t>
  </si>
  <si>
    <t>Electronics</t>
  </si>
  <si>
    <t>Keyboard</t>
  </si>
  <si>
    <t>Mouse</t>
  </si>
  <si>
    <t>Speaker</t>
  </si>
  <si>
    <t>Webcam</t>
  </si>
  <si>
    <t>Phone Case</t>
  </si>
  <si>
    <t>Accessories</t>
  </si>
  <si>
    <t>Charger</t>
  </si>
  <si>
    <t>USB Cable</t>
  </si>
  <si>
    <t>Power Bank</t>
  </si>
  <si>
    <t>Laptop Sleeve</t>
  </si>
  <si>
    <t>Notebook</t>
  </si>
  <si>
    <t>Office</t>
  </si>
  <si>
    <t>Pen Set</t>
  </si>
  <si>
    <t>Desk Lamp</t>
  </si>
  <si>
    <t>Stapler</t>
  </si>
  <si>
    <t>Organizer</t>
  </si>
  <si>
    <t>Yoga Mat</t>
  </si>
  <si>
    <t>Fitness</t>
  </si>
  <si>
    <t>Dumbbells</t>
  </si>
  <si>
    <t>Resistance Band</t>
  </si>
  <si>
    <t>Skipping Rope</t>
  </si>
  <si>
    <t>Water Bottle</t>
  </si>
  <si>
    <t>Customer_ID</t>
  </si>
  <si>
    <t>Age</t>
  </si>
  <si>
    <t>Gender</t>
  </si>
  <si>
    <t>City</t>
  </si>
  <si>
    <t>Male</t>
  </si>
  <si>
    <t>Delhi</t>
  </si>
  <si>
    <t>Female</t>
  </si>
  <si>
    <t>Bangalore</t>
  </si>
  <si>
    <t>Pune</t>
  </si>
  <si>
    <t>Hyderabad</t>
  </si>
  <si>
    <t>Mumbai</t>
  </si>
  <si>
    <t>Chandigarh</t>
  </si>
  <si>
    <t>Order_ID</t>
  </si>
  <si>
    <t>Quantity</t>
  </si>
  <si>
    <t>Cost</t>
  </si>
  <si>
    <t>Revenue</t>
  </si>
  <si>
    <t>Profit</t>
  </si>
  <si>
    <t>Profit_margin</t>
  </si>
  <si>
    <t>Order_value_category</t>
  </si>
  <si>
    <t>Customer_age_group</t>
  </si>
  <si>
    <t>Profit_category</t>
  </si>
  <si>
    <t>Total_Revenue</t>
  </si>
  <si>
    <t>Total_profit</t>
  </si>
  <si>
    <t>Total_order</t>
  </si>
  <si>
    <t>Average_order_value</t>
  </si>
  <si>
    <t>Order_date</t>
  </si>
  <si>
    <t>Month</t>
  </si>
  <si>
    <t>RETAIL PROFITABILITY &amp; CUSTOMER INSIGHT ANALYSIS</t>
  </si>
  <si>
    <t>Row Labels</t>
  </si>
  <si>
    <t>Jan</t>
  </si>
  <si>
    <t>Feb</t>
  </si>
  <si>
    <t>Mar</t>
  </si>
  <si>
    <t>Apr</t>
  </si>
  <si>
    <t>May</t>
  </si>
  <si>
    <t>Jun</t>
  </si>
  <si>
    <t>Jul</t>
  </si>
  <si>
    <t>Aug</t>
  </si>
  <si>
    <t>Sep</t>
  </si>
  <si>
    <t>Oct</t>
  </si>
  <si>
    <t>Nov</t>
  </si>
  <si>
    <t>Dec</t>
  </si>
  <si>
    <t>Grand Total</t>
  </si>
  <si>
    <t>Sum of Revenue</t>
  </si>
  <si>
    <t>Values</t>
  </si>
  <si>
    <t>Sum of Profit</t>
  </si>
  <si>
    <t>Middle_age</t>
  </si>
  <si>
    <t>Senior</t>
  </si>
  <si>
    <t>Young</t>
  </si>
  <si>
    <t>TOTAL_REVENUE</t>
  </si>
  <si>
    <t>TOTAL_PROFIT</t>
  </si>
  <si>
    <t>PROFIT_MARGIN</t>
  </si>
  <si>
    <t>TOTAL_ORDER</t>
  </si>
  <si>
    <t>AVG_ORDER_VALUE</t>
  </si>
  <si>
    <t>BEST_CATEGORY</t>
  </si>
  <si>
    <t>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</si>
</sst>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5" x14ac:knownFonts="1">
    <font>
      <sz val="11"/>
      <color theme="1"/>
      <name val="Calibri"/>
      <family val="2"/>
      <scheme val="minor"/>
    </font>
    <font>
      <sz val="11"/>
      <color theme="1"/>
      <name val="Calibri"/>
      <family val="2"/>
      <scheme val="minor"/>
    </font>
    <font>
      <sz val="16"/>
      <color theme="1"/>
      <name val="Calibri"/>
      <family val="2"/>
      <scheme val="minor"/>
    </font>
    <font>
      <b/>
      <u/>
      <sz val="11"/>
      <color theme="3" tint="-0.249977111117893"/>
      <name val="Calibri"/>
      <family val="2"/>
      <scheme val="minor"/>
    </font>
    <font>
      <b/>
      <sz val="14"/>
      <color theme="1" tint="4.9989318521683403E-2"/>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rgb="FFD6EAF8"/>
        <bgColor indexed="64"/>
      </patternFill>
    </fill>
    <fill>
      <patternFill patternType="solid">
        <fgColor rgb="FFF5F6FA"/>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9" fontId="0" fillId="0" borderId="0" xfId="1" applyFont="1"/>
    <xf numFmtId="165" fontId="0" fillId="0" borderId="0" xfId="0" applyNumberFormat="1"/>
    <xf numFmtId="0" fontId="0" fillId="0" borderId="1" xfId="0" applyBorder="1"/>
    <xf numFmtId="165" fontId="0" fillId="0" borderId="1" xfId="0" applyNumberFormat="1" applyBorder="1"/>
    <xf numFmtId="9" fontId="0" fillId="0" borderId="1" xfId="1" applyFont="1" applyBorder="1"/>
    <xf numFmtId="164" fontId="0" fillId="0" borderId="1" xfId="0" applyNumberFormat="1" applyBorder="1"/>
    <xf numFmtId="9" fontId="0" fillId="0" borderId="0" xfId="1" applyFont="1" applyBorder="1"/>
    <xf numFmtId="165" fontId="0" fillId="0" borderId="2" xfId="0" applyNumberFormat="1" applyBorder="1"/>
    <xf numFmtId="14" fontId="0" fillId="0" borderId="0" xfId="0" applyNumberFormat="1"/>
    <xf numFmtId="165" fontId="0" fillId="0" borderId="3" xfId="0" applyNumberFormat="1" applyBorder="1"/>
    <xf numFmtId="0" fontId="0" fillId="0" borderId="3" xfId="0" applyBorder="1"/>
    <xf numFmtId="14" fontId="0" fillId="0" borderId="1" xfId="0" applyNumberFormat="1" applyBorder="1"/>
    <xf numFmtId="14" fontId="0" fillId="0" borderId="3" xfId="0" applyNumberFormat="1" applyBorder="1"/>
    <xf numFmtId="0" fontId="0" fillId="0" borderId="0" xfId="0" pivotButton="1"/>
    <xf numFmtId="0" fontId="0" fillId="0" borderId="0" xfId="0" applyAlignment="1">
      <alignment horizontal="left"/>
    </xf>
    <xf numFmtId="0" fontId="3" fillId="4" borderId="1" xfId="0" applyFont="1" applyFill="1" applyBorder="1" applyAlignment="1">
      <alignment horizontal="center" vertical="center"/>
    </xf>
    <xf numFmtId="0" fontId="2" fillId="5" borderId="4" xfId="0" applyFont="1" applyFill="1" applyBorder="1" applyAlignment="1">
      <alignment horizontal="center" vertical="center" wrapText="1"/>
    </xf>
    <xf numFmtId="2" fontId="4" fillId="3" borderId="5" xfId="0" applyNumberFormat="1" applyFont="1" applyFill="1" applyBorder="1" applyAlignment="1">
      <alignment horizontal="center" vertical="center"/>
    </xf>
    <xf numFmtId="2" fontId="4" fillId="3" borderId="6" xfId="0" applyNumberFormat="1" applyFont="1" applyFill="1" applyBorder="1" applyAlignment="1">
      <alignment horizontal="center" vertical="center"/>
    </xf>
    <xf numFmtId="164" fontId="4" fillId="3" borderId="7"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xf>
    <xf numFmtId="164" fontId="4" fillId="3" borderId="9" xfId="0" applyNumberFormat="1" applyFont="1" applyFill="1" applyBorder="1" applyAlignment="1">
      <alignment horizontal="center" vertical="center"/>
    </xf>
    <xf numFmtId="10" fontId="4" fillId="3" borderId="5" xfId="0" applyNumberFormat="1" applyFont="1" applyFill="1" applyBorder="1" applyAlignment="1">
      <alignment horizontal="center" vertical="center"/>
    </xf>
    <xf numFmtId="10" fontId="4" fillId="3" borderId="6" xfId="0" applyNumberFormat="1" applyFont="1" applyFill="1" applyBorder="1" applyAlignment="1">
      <alignment horizontal="center" vertical="center"/>
    </xf>
    <xf numFmtId="49" fontId="4" fillId="3" borderId="5" xfId="0" applyNumberFormat="1" applyFont="1" applyFill="1" applyBorder="1" applyAlignment="1">
      <alignment horizontal="center" vertical="center"/>
    </xf>
    <xf numFmtId="49" fontId="4" fillId="3" borderId="6"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0" fontId="0" fillId="2" borderId="0" xfId="0" applyFill="1"/>
    <xf numFmtId="0" fontId="0" fillId="2" borderId="0" xfId="0" applyFill="1" applyAlignment="1">
      <alignment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7" xfId="0" applyFont="1" applyFill="1" applyBorder="1" applyAlignment="1">
      <alignment horizontal="center" vertical="center" wrapText="1"/>
    </xf>
    <xf numFmtId="164" fontId="4" fillId="3" borderId="1" xfId="0" applyNumberFormat="1" applyFont="1" applyFill="1" applyBorder="1" applyAlignment="1">
      <alignment horizontal="center" vertical="center"/>
    </xf>
  </cellXfs>
  <cellStyles count="2">
    <cellStyle name="Normal" xfId="0" builtinId="0"/>
    <cellStyle name="Percent" xfId="1" builtinId="5"/>
  </cellStyles>
  <dxfs count="22">
    <dxf>
      <numFmt numFmtId="166" formatCode="dd/mm/yyyy"/>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numFmt numFmtId="165" formatCode="&quot;₹&quot;\ #,##0"/>
      <border diagonalUp="0" diagonalDown="0">
        <left style="thin">
          <color indexed="64"/>
        </left>
        <right style="thin">
          <color indexed="64"/>
        </right>
        <top style="thin">
          <color indexed="64"/>
        </top>
        <bottom style="thin">
          <color indexed="64"/>
        </bottom>
        <vertical/>
        <horizontal/>
      </border>
    </dxf>
    <dxf>
      <numFmt numFmtId="165" formatCode="&quot;₹&quot;\ #,##0"/>
      <border diagonalUp="0" diagonalDown="0">
        <left style="thin">
          <color indexed="64"/>
        </left>
        <right style="thin">
          <color indexed="64"/>
        </right>
        <top style="thin">
          <color indexed="64"/>
        </top>
        <bottom style="thin">
          <color indexed="64"/>
        </bottom>
        <vertical/>
        <horizontal/>
      </border>
    </dxf>
    <dxf>
      <numFmt numFmtId="165" formatCode="&quot;₹&quot;\ #,##0"/>
      <border diagonalUp="0" diagonalDown="0">
        <left style="thin">
          <color indexed="64"/>
        </left>
        <right style="thin">
          <color indexed="64"/>
        </right>
        <top style="thin">
          <color indexed="64"/>
        </top>
        <bottom style="thin">
          <color indexed="64"/>
        </bottom>
        <vertical/>
        <horizontal/>
      </border>
    </dxf>
    <dxf>
      <numFmt numFmtId="165" formatCode="&quot;₹&quot;\ #,##0"/>
      <border diagonalUp="0" diagonalDown="0">
        <left style="thin">
          <color indexed="64"/>
        </left>
        <right style="thin">
          <color indexed="64"/>
        </right>
        <top style="thin">
          <color indexed="64"/>
        </top>
        <bottom style="thin">
          <color indexed="64"/>
        </bottom>
        <vertical/>
        <horizontal/>
      </border>
    </dxf>
    <dxf>
      <numFmt numFmtId="165" formatCode="&quot;₹&quot;\ #,##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6" formatCode="dd/mm/yyyy"/>
    </dxf>
    <dxf>
      <border outline="0">
        <right style="thin">
          <color indexed="64"/>
        </right>
      </border>
    </dxf>
    <dxf>
      <numFmt numFmtId="165" formatCode="&quot;₹&quot;\ #,##0"/>
      <border diagonalUp="0" diagonalDown="0" outline="0">
        <left style="thin">
          <color indexed="64"/>
        </left>
        <right style="thin">
          <color indexed="64"/>
        </right>
        <top/>
        <bottom/>
      </border>
    </dxf>
  </dxfs>
  <tableStyles count="0" defaultTableStyle="TableStyleMedium9" defaultPivotStyle="PivotStyleLight16"/>
  <colors>
    <mruColors>
      <color rgb="FFF5F6FA"/>
      <color rgb="FFD6EAF8"/>
      <color rgb="FF2E47C2"/>
      <color rgb="FF97E4F1"/>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[retail_profitability_project.xlsx]Sheet5!PivotTable1</c:name>
    <c:fmtId val="0"/>
  </c:pivotSource>
  <c:chart>
    <c:title>
      <c:tx>
        <c:rich>
          <a:bodyPr/>
          <a:lstStyle/>
          <a:p>
            <a:pPr>
              <a:defRPr/>
            </a:pPr>
            <a:r>
              <a:rPr lang="en-US"/>
              <a:t>Monthly revenue and profit trends </a:t>
            </a:r>
          </a:p>
        </c:rich>
      </c:tx>
      <c:overlay val="0"/>
    </c:title>
    <c:autoTitleDeleted val="0"/>
    <c:pivotFmts>
      <c:pivotFmt>
        <c:idx val="0"/>
        <c:marker>
          <c:symbol val="diamond"/>
          <c:size val="2"/>
        </c:marker>
        <c:dLbl>
          <c:idx val="0"/>
          <c:delete val="1"/>
          <c:extLst>
            <c:ext xmlns:c15="http://schemas.microsoft.com/office/drawing/2012/chart" uri="{CE6537A1-D6FC-4f65-9D91-7224C49458BB}"/>
          </c:extLst>
        </c:dLbl>
      </c:pivotFmt>
      <c:pivotFmt>
        <c:idx val="1"/>
        <c:marker>
          <c:symbol val="square"/>
          <c:size val="2"/>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Sheet5!$B$2:$B$3</c:f>
              <c:strCache>
                <c:ptCount val="1"/>
                <c:pt idx="0">
                  <c:v>Sum of Revenue</c:v>
                </c:pt>
              </c:strCache>
            </c:strRef>
          </c:tx>
          <c:marker>
            <c:symbol val="diamond"/>
            <c:size val="2"/>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85180</c:v>
                </c:pt>
                <c:pt idx="1">
                  <c:v>96100</c:v>
                </c:pt>
                <c:pt idx="2">
                  <c:v>84010</c:v>
                </c:pt>
                <c:pt idx="3">
                  <c:v>93350</c:v>
                </c:pt>
                <c:pt idx="4">
                  <c:v>92680</c:v>
                </c:pt>
                <c:pt idx="5">
                  <c:v>91630</c:v>
                </c:pt>
                <c:pt idx="6">
                  <c:v>76380</c:v>
                </c:pt>
                <c:pt idx="7">
                  <c:v>94200</c:v>
                </c:pt>
                <c:pt idx="8">
                  <c:v>75550</c:v>
                </c:pt>
                <c:pt idx="9">
                  <c:v>70000</c:v>
                </c:pt>
                <c:pt idx="10">
                  <c:v>77010</c:v>
                </c:pt>
                <c:pt idx="11">
                  <c:v>89900</c:v>
                </c:pt>
              </c:numCache>
            </c:numRef>
          </c:val>
          <c:smooth val="0"/>
          <c:extLst>
            <c:ext xmlns:c16="http://schemas.microsoft.com/office/drawing/2014/chart" uri="{C3380CC4-5D6E-409C-BE32-E72D297353CC}">
              <c16:uniqueId val="{00000000-2C37-41FB-812B-3996EAF04FC5}"/>
            </c:ext>
          </c:extLst>
        </c:ser>
        <c:ser>
          <c:idx val="1"/>
          <c:order val="1"/>
          <c:tx>
            <c:strRef>
              <c:f>Sheet5!$C$2:$C$3</c:f>
              <c:strCache>
                <c:ptCount val="1"/>
                <c:pt idx="0">
                  <c:v>Sum of Profit</c:v>
                </c:pt>
              </c:strCache>
            </c:strRef>
          </c:tx>
          <c:marker>
            <c:symbol val="square"/>
            <c:size val="2"/>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Sheet5!$C$4:$C$16</c:f>
              <c:numCache>
                <c:formatCode>General</c:formatCode>
                <c:ptCount val="12"/>
                <c:pt idx="0">
                  <c:v>34330</c:v>
                </c:pt>
                <c:pt idx="1">
                  <c:v>35600</c:v>
                </c:pt>
                <c:pt idx="2">
                  <c:v>33130</c:v>
                </c:pt>
                <c:pt idx="3">
                  <c:v>38800</c:v>
                </c:pt>
                <c:pt idx="4">
                  <c:v>35500</c:v>
                </c:pt>
                <c:pt idx="5">
                  <c:v>37430</c:v>
                </c:pt>
                <c:pt idx="6">
                  <c:v>31470</c:v>
                </c:pt>
                <c:pt idx="7">
                  <c:v>38770</c:v>
                </c:pt>
                <c:pt idx="8">
                  <c:v>27380</c:v>
                </c:pt>
                <c:pt idx="9">
                  <c:v>25750</c:v>
                </c:pt>
                <c:pt idx="10">
                  <c:v>29470</c:v>
                </c:pt>
                <c:pt idx="11">
                  <c:v>34530</c:v>
                </c:pt>
              </c:numCache>
            </c:numRef>
          </c:val>
          <c:smooth val="0"/>
          <c:extLst>
            <c:ext xmlns:c16="http://schemas.microsoft.com/office/drawing/2014/chart" uri="{C3380CC4-5D6E-409C-BE32-E72D297353CC}">
              <c16:uniqueId val="{00000001-2C37-41FB-812B-3996EAF04FC5}"/>
            </c:ext>
          </c:extLst>
        </c:ser>
        <c:dLbls>
          <c:showLegendKey val="0"/>
          <c:showVal val="0"/>
          <c:showCatName val="0"/>
          <c:showSerName val="0"/>
          <c:showPercent val="0"/>
          <c:showBubbleSize val="0"/>
        </c:dLbls>
        <c:marker val="1"/>
        <c:smooth val="0"/>
        <c:axId val="115868416"/>
        <c:axId val="115903872"/>
      </c:lineChart>
      <c:catAx>
        <c:axId val="115868416"/>
        <c:scaling>
          <c:orientation val="minMax"/>
        </c:scaling>
        <c:delete val="0"/>
        <c:axPos val="b"/>
        <c:numFmt formatCode="General" sourceLinked="0"/>
        <c:majorTickMark val="out"/>
        <c:minorTickMark val="none"/>
        <c:tickLblPos val="nextTo"/>
        <c:crossAx val="115903872"/>
        <c:crosses val="autoZero"/>
        <c:auto val="1"/>
        <c:lblAlgn val="ctr"/>
        <c:lblOffset val="100"/>
        <c:noMultiLvlLbl val="0"/>
      </c:catAx>
      <c:valAx>
        <c:axId val="115903872"/>
        <c:scaling>
          <c:orientation val="minMax"/>
        </c:scaling>
        <c:delete val="0"/>
        <c:axPos val="l"/>
        <c:majorGridlines/>
        <c:numFmt formatCode="General" sourceLinked="1"/>
        <c:majorTickMark val="out"/>
        <c:minorTickMark val="none"/>
        <c:tickLblPos val="nextTo"/>
        <c:crossAx val="115868416"/>
        <c:crosses val="autoZero"/>
        <c:crossBetween val="between"/>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[retail_profitability_project.xlsx]Sheet5!PivotTable2</c:name>
    <c:fmtId val="1"/>
  </c:pivotSource>
  <c:chart>
    <c:title>
      <c:tx>
        <c:rich>
          <a:bodyPr/>
          <a:lstStyle/>
          <a:p>
            <a:pPr>
              <a:defRPr/>
            </a:pPr>
            <a:r>
              <a:rPr lang="en-US"/>
              <a:t>Profit</a:t>
            </a:r>
            <a:r>
              <a:rPr lang="en-US" baseline="0"/>
              <a:t> by Category</a:t>
            </a:r>
            <a:endParaRPr lang="en-US"/>
          </a:p>
        </c:rich>
      </c:tx>
      <c:overlay val="0"/>
    </c:title>
    <c:autoTitleDeleted val="0"/>
    <c:pivotFmts>
      <c:pivotFmt>
        <c:idx val="0"/>
        <c:marker>
          <c:symbol val="none"/>
        </c:marker>
        <c:dLbl>
          <c:idx val="0"/>
          <c:spPr/>
          <c:txPr>
            <a:bodyPr rot="-5400000" vert="horz" anchor="b" anchorCtr="0"/>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Sheet5!$B$22</c:f>
              <c:strCache>
                <c:ptCount val="1"/>
                <c:pt idx="0">
                  <c:v>Total</c:v>
                </c:pt>
              </c:strCache>
            </c:strRef>
          </c:tx>
          <c:invertIfNegative val="0"/>
          <c:dLbls>
            <c:spPr/>
            <c:txPr>
              <a:bodyPr rot="-5400000" vert="horz" anchor="b" anchorCtr="0"/>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Sheet5!$A$23:$A$27</c:f>
              <c:strCache>
                <c:ptCount val="4"/>
                <c:pt idx="0">
                  <c:v>Accessories</c:v>
                </c:pt>
                <c:pt idx="1">
                  <c:v>Electronics</c:v>
                </c:pt>
                <c:pt idx="2">
                  <c:v>Fitness</c:v>
                </c:pt>
                <c:pt idx="3">
                  <c:v>Office</c:v>
                </c:pt>
              </c:strCache>
            </c:strRef>
          </c:cat>
          <c:val>
            <c:numRef>
              <c:f>Sheet5!$B$23:$B$27</c:f>
              <c:numCache>
                <c:formatCode>General</c:formatCode>
                <c:ptCount val="4"/>
                <c:pt idx="0">
                  <c:v>78430</c:v>
                </c:pt>
                <c:pt idx="1">
                  <c:v>130550</c:v>
                </c:pt>
                <c:pt idx="2">
                  <c:v>103890</c:v>
                </c:pt>
                <c:pt idx="3">
                  <c:v>89290</c:v>
                </c:pt>
              </c:numCache>
            </c:numRef>
          </c:val>
          <c:extLst>
            <c:ext xmlns:c16="http://schemas.microsoft.com/office/drawing/2014/chart" uri="{C3380CC4-5D6E-409C-BE32-E72D297353CC}">
              <c16:uniqueId val="{00000000-940B-4BD4-B99A-3B252B6E3408}"/>
            </c:ext>
          </c:extLst>
        </c:ser>
        <c:dLbls>
          <c:showLegendKey val="0"/>
          <c:showVal val="0"/>
          <c:showCatName val="0"/>
          <c:showSerName val="0"/>
          <c:showPercent val="0"/>
          <c:showBubbleSize val="0"/>
        </c:dLbls>
        <c:gapWidth val="150"/>
        <c:axId val="112459776"/>
        <c:axId val="112461312"/>
      </c:barChart>
      <c:catAx>
        <c:axId val="112459776"/>
        <c:scaling>
          <c:orientation val="minMax"/>
        </c:scaling>
        <c:delete val="0"/>
        <c:axPos val="b"/>
        <c:numFmt formatCode="General" sourceLinked="0"/>
        <c:majorTickMark val="out"/>
        <c:minorTickMark val="none"/>
        <c:tickLblPos val="nextTo"/>
        <c:crossAx val="112461312"/>
        <c:crosses val="autoZero"/>
        <c:auto val="1"/>
        <c:lblAlgn val="ctr"/>
        <c:lblOffset val="100"/>
        <c:noMultiLvlLbl val="0"/>
      </c:catAx>
      <c:valAx>
        <c:axId val="112461312"/>
        <c:scaling>
          <c:orientation val="minMax"/>
        </c:scaling>
        <c:delete val="0"/>
        <c:axPos val="l"/>
        <c:majorGridlines/>
        <c:numFmt formatCode="General" sourceLinked="1"/>
        <c:majorTickMark val="out"/>
        <c:minorTickMark val="none"/>
        <c:tickLblPos val="nextTo"/>
        <c:crossAx val="112459776"/>
        <c:crosses val="autoZero"/>
        <c:crossBetween val="between"/>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[retail_profitability_project.xlsx]Sheet5!PivotTable3</c:name>
    <c:fmtId val="3"/>
  </c:pivotSource>
  <c:chart>
    <c:title>
      <c:tx>
        <c:rich>
          <a:bodyPr/>
          <a:lstStyle/>
          <a:p>
            <a:pPr>
              <a:defRPr/>
            </a:pPr>
            <a:r>
              <a:rPr lang="en-US"/>
              <a:t>Profit</a:t>
            </a:r>
            <a:r>
              <a:rPr lang="en-US" baseline="0"/>
              <a:t> by city</a:t>
            </a:r>
            <a:endParaRPr lang="en-US"/>
          </a:p>
        </c:rich>
      </c:tx>
      <c:overlay val="0"/>
    </c:title>
    <c:autoTitleDeleted val="0"/>
    <c:pivotFmts>
      <c:pivotFmt>
        <c:idx val="0"/>
        <c:marker>
          <c:symbol val="none"/>
        </c:marker>
        <c:dLbl>
          <c:idx val="0"/>
          <c:spPr>
            <a:ln>
              <a:solidFill>
                <a:sysClr val="window" lastClr="FFFFFF"/>
              </a:solidFill>
            </a:ln>
          </c:spPr>
          <c:txPr>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Sheet5!$B$34</c:f>
              <c:strCache>
                <c:ptCount val="1"/>
                <c:pt idx="0">
                  <c:v>Total</c:v>
                </c:pt>
              </c:strCache>
            </c:strRef>
          </c:tx>
          <c:invertIfNegative val="0"/>
          <c:dLbls>
            <c:spPr>
              <a:ln>
                <a:solidFill>
                  <a:sysClr val="window" lastClr="FFFFFF"/>
                </a:solidFill>
              </a:ln>
            </c:spPr>
            <c:txPr>
              <a:bodyPr/>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Sheet5!$A$35:$A$41</c:f>
              <c:strCache>
                <c:ptCount val="6"/>
                <c:pt idx="0">
                  <c:v>Bangalore</c:v>
                </c:pt>
                <c:pt idx="1">
                  <c:v>Chandigarh</c:v>
                </c:pt>
                <c:pt idx="2">
                  <c:v>Delhi</c:v>
                </c:pt>
                <c:pt idx="3">
                  <c:v>Hyderabad</c:v>
                </c:pt>
                <c:pt idx="4">
                  <c:v>Mumbai</c:v>
                </c:pt>
                <c:pt idx="5">
                  <c:v>Pune</c:v>
                </c:pt>
              </c:strCache>
            </c:strRef>
          </c:cat>
          <c:val>
            <c:numRef>
              <c:f>Sheet5!$B$35:$B$41</c:f>
              <c:numCache>
                <c:formatCode>General</c:formatCode>
                <c:ptCount val="6"/>
                <c:pt idx="0">
                  <c:v>53360</c:v>
                </c:pt>
                <c:pt idx="1">
                  <c:v>62200</c:v>
                </c:pt>
                <c:pt idx="2">
                  <c:v>128150</c:v>
                </c:pt>
                <c:pt idx="3">
                  <c:v>65420</c:v>
                </c:pt>
                <c:pt idx="4">
                  <c:v>40640</c:v>
                </c:pt>
                <c:pt idx="5">
                  <c:v>52390</c:v>
                </c:pt>
              </c:numCache>
            </c:numRef>
          </c:val>
          <c:extLst>
            <c:ext xmlns:c16="http://schemas.microsoft.com/office/drawing/2014/chart" uri="{C3380CC4-5D6E-409C-BE32-E72D297353CC}">
              <c16:uniqueId val="{00000000-0BAA-4CED-91B2-54B97F507B2D}"/>
            </c:ext>
          </c:extLst>
        </c:ser>
        <c:dLbls>
          <c:showLegendKey val="0"/>
          <c:showVal val="0"/>
          <c:showCatName val="0"/>
          <c:showSerName val="0"/>
          <c:showPercent val="0"/>
          <c:showBubbleSize val="0"/>
        </c:dLbls>
        <c:gapWidth val="150"/>
        <c:axId val="113656576"/>
        <c:axId val="113658112"/>
      </c:barChart>
      <c:catAx>
        <c:axId val="113656576"/>
        <c:scaling>
          <c:orientation val="minMax"/>
        </c:scaling>
        <c:delete val="0"/>
        <c:axPos val="l"/>
        <c:numFmt formatCode="General" sourceLinked="0"/>
        <c:majorTickMark val="out"/>
        <c:minorTickMark val="none"/>
        <c:tickLblPos val="nextTo"/>
        <c:crossAx val="113658112"/>
        <c:crosses val="autoZero"/>
        <c:auto val="1"/>
        <c:lblAlgn val="ctr"/>
        <c:lblOffset val="100"/>
        <c:noMultiLvlLbl val="0"/>
      </c:catAx>
      <c:valAx>
        <c:axId val="113658112"/>
        <c:scaling>
          <c:orientation val="minMax"/>
        </c:scaling>
        <c:delete val="0"/>
        <c:axPos val="b"/>
        <c:majorGridlines/>
        <c:numFmt formatCode="General" sourceLinked="1"/>
        <c:majorTickMark val="out"/>
        <c:minorTickMark val="none"/>
        <c:tickLblPos val="nextTo"/>
        <c:crossAx val="113656576"/>
        <c:crosses val="autoZero"/>
        <c:crossBetween val="between"/>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[retail_profitability_project.xlsx]Sheet5!PivotTable4</c:name>
    <c:fmtId val="5"/>
  </c:pivotSource>
  <c:chart>
    <c:title>
      <c:tx>
        <c:rich>
          <a:bodyPr/>
          <a:lstStyle/>
          <a:p>
            <a:pPr>
              <a:defRPr/>
            </a:pPr>
            <a:r>
              <a:rPr lang="en-US"/>
              <a:t>Revenue by customer_segment</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dLbl>
          <c:idx val="0"/>
          <c:layout>
            <c:manualLayout>
              <c:x val="0.1336939265570527"/>
              <c:y val="0.10175355833824741"/>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0.1336939265570527"/>
              <c:y val="0.10175355833824741"/>
            </c:manualLayout>
          </c:layout>
          <c:showLegendKey val="0"/>
          <c:showVal val="1"/>
          <c:showCatName val="0"/>
          <c:showSerName val="0"/>
          <c:showPercent val="1"/>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8.8321745686044562E-2"/>
              <c:y val="9.5779138718771265E-2"/>
            </c:manualLayout>
          </c:layout>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1336939265570527"/>
              <c:y val="0.10175355833824741"/>
            </c:manualLayout>
          </c:layout>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Sheet5!$B$45</c:f>
              <c:strCache>
                <c:ptCount val="1"/>
                <c:pt idx="0">
                  <c:v>Total</c:v>
                </c:pt>
              </c:strCache>
            </c:strRef>
          </c:tx>
          <c:dLbls>
            <c:dLbl>
              <c:idx val="0"/>
              <c:layout>
                <c:manualLayout>
                  <c:x val="-8.8321745686044562E-2"/>
                  <c:y val="9.577913871877126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6E8-4780-AA50-58FAC4161E7D}"/>
                </c:ext>
              </c:extLst>
            </c:dLbl>
            <c:dLbl>
              <c:idx val="2"/>
              <c:layout>
                <c:manualLayout>
                  <c:x val="0.1336939265570527"/>
                  <c:y val="0.1017535583382474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E8-4780-AA50-58FAC4161E7D}"/>
                </c:ext>
              </c:extLst>
            </c:dLbl>
            <c:spPr/>
            <c:txPr>
              <a:bodyPr/>
              <a:lstStyle/>
              <a:p>
                <a:pPr>
                  <a:defRPr/>
                </a:pPr>
                <a:endParaRPr lang="en-US"/>
              </a:p>
            </c:txPr>
            <c:showLegendKey val="0"/>
            <c:showVal val="1"/>
            <c:showCatName val="0"/>
            <c:showSerName val="0"/>
            <c:showPercent val="1"/>
            <c:showBubbleSize val="0"/>
            <c:showLeaderLines val="1"/>
            <c:extLst>
              <c:ext xmlns:c15="http://schemas.microsoft.com/office/drawing/2012/chart" uri="{CE6537A1-D6FC-4f65-9D91-7224C49458BB}"/>
            </c:extLst>
          </c:dLbls>
          <c:cat>
            <c:strRef>
              <c:f>Sheet5!$A$46:$A$49</c:f>
              <c:strCache>
                <c:ptCount val="3"/>
                <c:pt idx="0">
                  <c:v>Middle_age</c:v>
                </c:pt>
                <c:pt idx="1">
                  <c:v>Senior</c:v>
                </c:pt>
                <c:pt idx="2">
                  <c:v>Young</c:v>
                </c:pt>
              </c:strCache>
            </c:strRef>
          </c:cat>
          <c:val>
            <c:numRef>
              <c:f>Sheet5!$B$46:$B$49</c:f>
              <c:numCache>
                <c:formatCode>General</c:formatCode>
                <c:ptCount val="3"/>
                <c:pt idx="0">
                  <c:v>331020</c:v>
                </c:pt>
                <c:pt idx="1">
                  <c:v>366970</c:v>
                </c:pt>
                <c:pt idx="2">
                  <c:v>328000</c:v>
                </c:pt>
              </c:numCache>
            </c:numRef>
          </c:val>
          <c:extLst>
            <c:ext xmlns:c16="http://schemas.microsoft.com/office/drawing/2014/chart" uri="{C3380CC4-5D6E-409C-BE32-E72D297353CC}">
              <c16:uniqueId val="{00000002-76E8-4780-AA50-58FAC4161E7D}"/>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0"/>
    </mc:Choice>
    <mc:Fallback>
      <c:style val="30"/>
    </mc:Fallback>
  </mc:AlternateContent>
  <c:pivotSource>
    <c:name>[retail_profitability_project.xlsx]Sheet5!PivotTable2</c:name>
    <c:fmtId val="3"/>
  </c:pivotSource>
  <c:chart>
    <c:title>
      <c:tx>
        <c:rich>
          <a:bodyPr/>
          <a:lstStyle/>
          <a:p>
            <a:pPr>
              <a:defRPr b="1" u="sng"/>
            </a:pPr>
            <a:r>
              <a:rPr lang="en-US" b="1" u="sng"/>
              <a:t>Profit by Category</a:t>
            </a:r>
          </a:p>
        </c:rich>
      </c:tx>
      <c:overlay val="0"/>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Sheet5!$B$22</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Sheet5!$A$23:$A$27</c:f>
              <c:strCache>
                <c:ptCount val="4"/>
                <c:pt idx="0">
                  <c:v>Accessories</c:v>
                </c:pt>
                <c:pt idx="1">
                  <c:v>Electronics</c:v>
                </c:pt>
                <c:pt idx="2">
                  <c:v>Fitness</c:v>
                </c:pt>
                <c:pt idx="3">
                  <c:v>Office</c:v>
                </c:pt>
              </c:strCache>
            </c:strRef>
          </c:cat>
          <c:val>
            <c:numRef>
              <c:f>Sheet5!$B$23:$B$27</c:f>
              <c:numCache>
                <c:formatCode>General</c:formatCode>
                <c:ptCount val="4"/>
                <c:pt idx="0">
                  <c:v>78430</c:v>
                </c:pt>
                <c:pt idx="1">
                  <c:v>130550</c:v>
                </c:pt>
                <c:pt idx="2">
                  <c:v>103890</c:v>
                </c:pt>
                <c:pt idx="3">
                  <c:v>89290</c:v>
                </c:pt>
              </c:numCache>
            </c:numRef>
          </c:val>
          <c:extLst>
            <c:ext xmlns:c16="http://schemas.microsoft.com/office/drawing/2014/chart" uri="{C3380CC4-5D6E-409C-BE32-E72D297353CC}">
              <c16:uniqueId val="{00000000-9DC7-40A7-BF9E-B0CA490F9127}"/>
            </c:ext>
          </c:extLst>
        </c:ser>
        <c:dLbls>
          <c:showLegendKey val="0"/>
          <c:showVal val="0"/>
          <c:showCatName val="0"/>
          <c:showSerName val="0"/>
          <c:showPercent val="0"/>
          <c:showBubbleSize val="0"/>
        </c:dLbls>
        <c:gapWidth val="150"/>
        <c:axId val="84166528"/>
        <c:axId val="84197376"/>
      </c:barChart>
      <c:catAx>
        <c:axId val="84166528"/>
        <c:scaling>
          <c:orientation val="minMax"/>
        </c:scaling>
        <c:delete val="0"/>
        <c:axPos val="b"/>
        <c:numFmt formatCode="General" sourceLinked="0"/>
        <c:majorTickMark val="out"/>
        <c:minorTickMark val="none"/>
        <c:tickLblPos val="nextTo"/>
        <c:crossAx val="84197376"/>
        <c:crosses val="autoZero"/>
        <c:auto val="1"/>
        <c:lblAlgn val="ctr"/>
        <c:lblOffset val="100"/>
        <c:noMultiLvlLbl val="0"/>
      </c:catAx>
      <c:valAx>
        <c:axId val="84197376"/>
        <c:scaling>
          <c:orientation val="minMax"/>
        </c:scaling>
        <c:delete val="0"/>
        <c:axPos val="l"/>
        <c:majorGridlines/>
        <c:numFmt formatCode="General" sourceLinked="1"/>
        <c:majorTickMark val="out"/>
        <c:minorTickMark val="none"/>
        <c:tickLblPos val="nextTo"/>
        <c:crossAx val="84166528"/>
        <c:crosses val="autoZero"/>
        <c:crossBetween val="between"/>
      </c:valAx>
    </c:plotArea>
    <c:legend>
      <c:legendPos val="r"/>
      <c:overlay val="0"/>
    </c:legend>
    <c:plotVisOnly val="1"/>
    <c:dispBlanksAs val="gap"/>
    <c:showDLblsOverMax val="0"/>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0"/>
    </mc:Choice>
    <mc:Fallback>
      <c:style val="30"/>
    </mc:Fallback>
  </mc:AlternateContent>
  <c:pivotSource>
    <c:name>[retail_profitability_project.xlsx]Sheet5!PivotTable3</c:name>
    <c:fmtId val="5"/>
  </c:pivotSource>
  <c:chart>
    <c:title>
      <c:tx>
        <c:rich>
          <a:bodyPr/>
          <a:lstStyle/>
          <a:p>
            <a:pPr>
              <a:defRPr b="1" u="sng"/>
            </a:pPr>
            <a:r>
              <a:rPr lang="en-US" b="1" u="sng"/>
              <a:t>Profit by city</a:t>
            </a:r>
          </a:p>
        </c:rich>
      </c:tx>
      <c:overlay val="0"/>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Sheet5!$B$34</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Sheet5!$A$35:$A$41</c:f>
              <c:strCache>
                <c:ptCount val="6"/>
                <c:pt idx="0">
                  <c:v>Bangalore</c:v>
                </c:pt>
                <c:pt idx="1">
                  <c:v>Chandigarh</c:v>
                </c:pt>
                <c:pt idx="2">
                  <c:v>Delhi</c:v>
                </c:pt>
                <c:pt idx="3">
                  <c:v>Hyderabad</c:v>
                </c:pt>
                <c:pt idx="4">
                  <c:v>Mumbai</c:v>
                </c:pt>
                <c:pt idx="5">
                  <c:v>Pune</c:v>
                </c:pt>
              </c:strCache>
            </c:strRef>
          </c:cat>
          <c:val>
            <c:numRef>
              <c:f>Sheet5!$B$35:$B$41</c:f>
              <c:numCache>
                <c:formatCode>General</c:formatCode>
                <c:ptCount val="6"/>
                <c:pt idx="0">
                  <c:v>53360</c:v>
                </c:pt>
                <c:pt idx="1">
                  <c:v>62200</c:v>
                </c:pt>
                <c:pt idx="2">
                  <c:v>128150</c:v>
                </c:pt>
                <c:pt idx="3">
                  <c:v>65420</c:v>
                </c:pt>
                <c:pt idx="4">
                  <c:v>40640</c:v>
                </c:pt>
                <c:pt idx="5">
                  <c:v>52390</c:v>
                </c:pt>
              </c:numCache>
            </c:numRef>
          </c:val>
          <c:extLst>
            <c:ext xmlns:c16="http://schemas.microsoft.com/office/drawing/2014/chart" uri="{C3380CC4-5D6E-409C-BE32-E72D297353CC}">
              <c16:uniqueId val="{00000000-B66B-4517-8429-6E038B44DE72}"/>
            </c:ext>
          </c:extLst>
        </c:ser>
        <c:dLbls>
          <c:showLegendKey val="0"/>
          <c:showVal val="0"/>
          <c:showCatName val="0"/>
          <c:showSerName val="0"/>
          <c:showPercent val="0"/>
          <c:showBubbleSize val="0"/>
        </c:dLbls>
        <c:gapWidth val="150"/>
        <c:axId val="83360768"/>
        <c:axId val="83411712"/>
      </c:barChart>
      <c:catAx>
        <c:axId val="83360768"/>
        <c:scaling>
          <c:orientation val="minMax"/>
        </c:scaling>
        <c:delete val="0"/>
        <c:axPos val="l"/>
        <c:numFmt formatCode="General" sourceLinked="0"/>
        <c:majorTickMark val="out"/>
        <c:minorTickMark val="none"/>
        <c:tickLblPos val="nextTo"/>
        <c:crossAx val="83411712"/>
        <c:crosses val="autoZero"/>
        <c:auto val="1"/>
        <c:lblAlgn val="ctr"/>
        <c:lblOffset val="100"/>
        <c:noMultiLvlLbl val="0"/>
      </c:catAx>
      <c:valAx>
        <c:axId val="83411712"/>
        <c:scaling>
          <c:orientation val="minMax"/>
        </c:scaling>
        <c:delete val="0"/>
        <c:axPos val="b"/>
        <c:majorGridlines/>
        <c:numFmt formatCode="General" sourceLinked="1"/>
        <c:majorTickMark val="out"/>
        <c:minorTickMark val="none"/>
        <c:tickLblPos val="nextTo"/>
        <c:crossAx val="83360768"/>
        <c:crosses val="autoZero"/>
        <c:crossBetween val="between"/>
      </c:valAx>
    </c:plotArea>
    <c:legend>
      <c:legendPos val="r"/>
      <c:overlay val="0"/>
    </c:legend>
    <c:plotVisOnly val="1"/>
    <c:dispBlanksAs val="gap"/>
    <c:showDLblsOverMax val="0"/>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[retail_profitability_project.xlsx]Sheet5!PivotTable4</c:name>
    <c:fmtId val="7"/>
  </c:pivotSource>
  <c:chart>
    <c:title>
      <c:tx>
        <c:rich>
          <a:bodyPr/>
          <a:lstStyle/>
          <a:p>
            <a:pPr>
              <a:defRPr b="1" u="sng"/>
            </a:pPr>
            <a:r>
              <a:rPr lang="en-US" b="1" u="sng"/>
              <a:t>Revenue by customer_segment</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dLbl>
          <c:idx val="0"/>
          <c:layout>
            <c:manualLayout>
              <c:x val="0.1336939265570527"/>
              <c:y val="0.10175355833824742"/>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0.1336939265570527"/>
              <c:y val="0.10175355833824742"/>
            </c:manualLayout>
          </c:layout>
          <c:showLegendKey val="0"/>
          <c:showVal val="1"/>
          <c:showCatName val="0"/>
          <c:showSerName val="0"/>
          <c:showPercent val="1"/>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8.8321745686044589E-2"/>
              <c:y val="9.577913871877125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1336939265570527"/>
              <c:y val="0.1017535583382474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8.8321745686044589E-2"/>
              <c:y val="9.5779138718771251E-2"/>
            </c:manualLayout>
          </c:layout>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0.1336939265570527"/>
              <c:y val="0.10175355833824742"/>
            </c:manualLayout>
          </c:layout>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Sheet5!$B$45</c:f>
              <c:strCache>
                <c:ptCount val="1"/>
                <c:pt idx="0">
                  <c:v>Total</c:v>
                </c:pt>
              </c:strCache>
            </c:strRef>
          </c:tx>
          <c:dLbls>
            <c:dLbl>
              <c:idx val="0"/>
              <c:layout>
                <c:manualLayout>
                  <c:x val="-8.8321745686044589E-2"/>
                  <c:y val="9.577913871877125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F5B-4247-8D33-0C65DDA3570F}"/>
                </c:ext>
              </c:extLst>
            </c:dLbl>
            <c:dLbl>
              <c:idx val="2"/>
              <c:layout>
                <c:manualLayout>
                  <c:x val="0.1336939265570527"/>
                  <c:y val="0.1017535583382474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5B-4247-8D33-0C65DDA3570F}"/>
                </c:ext>
              </c:extLst>
            </c:dLbl>
            <c:spPr/>
            <c:txPr>
              <a:bodyPr/>
              <a:lstStyle/>
              <a:p>
                <a:pPr>
                  <a:defRPr/>
                </a:pPr>
                <a:endParaRPr lang="en-US"/>
              </a:p>
            </c:txPr>
            <c:showLegendKey val="0"/>
            <c:showVal val="1"/>
            <c:showCatName val="0"/>
            <c:showSerName val="0"/>
            <c:showPercent val="1"/>
            <c:showBubbleSize val="0"/>
            <c:showLeaderLines val="1"/>
            <c:extLst>
              <c:ext xmlns:c15="http://schemas.microsoft.com/office/drawing/2012/chart" uri="{CE6537A1-D6FC-4f65-9D91-7224C49458BB}"/>
            </c:extLst>
          </c:dLbls>
          <c:cat>
            <c:strRef>
              <c:f>Sheet5!$A$46:$A$49</c:f>
              <c:strCache>
                <c:ptCount val="3"/>
                <c:pt idx="0">
                  <c:v>Middle_age</c:v>
                </c:pt>
                <c:pt idx="1">
                  <c:v>Senior</c:v>
                </c:pt>
                <c:pt idx="2">
                  <c:v>Young</c:v>
                </c:pt>
              </c:strCache>
            </c:strRef>
          </c:cat>
          <c:val>
            <c:numRef>
              <c:f>Sheet5!$B$46:$B$49</c:f>
              <c:numCache>
                <c:formatCode>General</c:formatCode>
                <c:ptCount val="3"/>
                <c:pt idx="0">
                  <c:v>331020</c:v>
                </c:pt>
                <c:pt idx="1">
                  <c:v>366970</c:v>
                </c:pt>
                <c:pt idx="2">
                  <c:v>328000</c:v>
                </c:pt>
              </c:numCache>
            </c:numRef>
          </c:val>
          <c:extLst>
            <c:ext xmlns:c16="http://schemas.microsoft.com/office/drawing/2014/chart" uri="{C3380CC4-5D6E-409C-BE32-E72D297353CC}">
              <c16:uniqueId val="{00000002-6F5B-4247-8D33-0C65DDA3570F}"/>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[retail_profitability_project.xlsx]Sheet5!PivotTable1</c:name>
    <c:fmtId val="6"/>
  </c:pivotSource>
  <c:chart>
    <c:title>
      <c:tx>
        <c:rich>
          <a:bodyPr/>
          <a:lstStyle/>
          <a:p>
            <a:pPr>
              <a:defRPr u="sng"/>
            </a:pPr>
            <a:r>
              <a:rPr lang="en-US" u="sng"/>
              <a:t>Monthly revenue and profit trends </a:t>
            </a:r>
          </a:p>
        </c:rich>
      </c:tx>
      <c:layout>
        <c:manualLayout>
          <c:xMode val="edge"/>
          <c:yMode val="edge"/>
          <c:x val="9.2513882889246474E-2"/>
          <c:y val="3.321032727862288E-2"/>
        </c:manualLayout>
      </c:layout>
      <c:overlay val="0"/>
    </c:title>
    <c:autoTitleDeleted val="0"/>
    <c:pivotFmts>
      <c:pivotFmt>
        <c:idx val="0"/>
        <c:marker>
          <c:symbol val="diamond"/>
          <c:size val="2"/>
        </c:marker>
        <c:dLbl>
          <c:idx val="0"/>
          <c:delete val="1"/>
          <c:extLst>
            <c:ext xmlns:c15="http://schemas.microsoft.com/office/drawing/2012/chart" uri="{CE6537A1-D6FC-4f65-9D91-7224C49458BB}"/>
          </c:extLst>
        </c:dLbl>
      </c:pivotFmt>
      <c:pivotFmt>
        <c:idx val="1"/>
        <c:marker>
          <c:symbol val="square"/>
          <c:size val="2"/>
        </c:marker>
      </c:pivotFmt>
      <c:pivotFmt>
        <c:idx val="2"/>
        <c:marker>
          <c:symbol val="diamond"/>
          <c:size val="2"/>
        </c:marker>
      </c:pivotFmt>
      <c:pivotFmt>
        <c:idx val="3"/>
        <c:marker>
          <c:symbol val="square"/>
          <c:size val="2"/>
        </c:marker>
      </c:pivotFmt>
      <c:pivotFmt>
        <c:idx val="4"/>
        <c:marker>
          <c:symbol val="diamond"/>
          <c:size val="2"/>
        </c:marker>
        <c:dLbl>
          <c:idx val="0"/>
          <c:delete val="1"/>
          <c:extLst>
            <c:ext xmlns:c15="http://schemas.microsoft.com/office/drawing/2012/chart" uri="{CE6537A1-D6FC-4f65-9D91-7224C49458BB}"/>
          </c:extLst>
        </c:dLbl>
      </c:pivotFmt>
      <c:pivotFmt>
        <c:idx val="5"/>
        <c:marker>
          <c:symbol val="square"/>
          <c:size val="2"/>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Sheet5!$B$2:$B$3</c:f>
              <c:strCache>
                <c:ptCount val="1"/>
                <c:pt idx="0">
                  <c:v>Sum of Revenue</c:v>
                </c:pt>
              </c:strCache>
            </c:strRef>
          </c:tx>
          <c:marker>
            <c:symbol val="diamond"/>
            <c:size val="2"/>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85180</c:v>
                </c:pt>
                <c:pt idx="1">
                  <c:v>96100</c:v>
                </c:pt>
                <c:pt idx="2">
                  <c:v>84010</c:v>
                </c:pt>
                <c:pt idx="3">
                  <c:v>93350</c:v>
                </c:pt>
                <c:pt idx="4">
                  <c:v>92680</c:v>
                </c:pt>
                <c:pt idx="5">
                  <c:v>91630</c:v>
                </c:pt>
                <c:pt idx="6">
                  <c:v>76380</c:v>
                </c:pt>
                <c:pt idx="7">
                  <c:v>94200</c:v>
                </c:pt>
                <c:pt idx="8">
                  <c:v>75550</c:v>
                </c:pt>
                <c:pt idx="9">
                  <c:v>70000</c:v>
                </c:pt>
                <c:pt idx="10">
                  <c:v>77010</c:v>
                </c:pt>
                <c:pt idx="11">
                  <c:v>89900</c:v>
                </c:pt>
              </c:numCache>
            </c:numRef>
          </c:val>
          <c:smooth val="0"/>
          <c:extLst>
            <c:ext xmlns:c16="http://schemas.microsoft.com/office/drawing/2014/chart" uri="{C3380CC4-5D6E-409C-BE32-E72D297353CC}">
              <c16:uniqueId val="{00000000-6D62-4315-BB8C-0360EABC7054}"/>
            </c:ext>
          </c:extLst>
        </c:ser>
        <c:ser>
          <c:idx val="1"/>
          <c:order val="1"/>
          <c:tx>
            <c:strRef>
              <c:f>Sheet5!$C$2:$C$3</c:f>
              <c:strCache>
                <c:ptCount val="1"/>
                <c:pt idx="0">
                  <c:v>Sum of Profit</c:v>
                </c:pt>
              </c:strCache>
            </c:strRef>
          </c:tx>
          <c:marker>
            <c:symbol val="square"/>
            <c:size val="2"/>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Sheet5!$C$4:$C$16</c:f>
              <c:numCache>
                <c:formatCode>General</c:formatCode>
                <c:ptCount val="12"/>
                <c:pt idx="0">
                  <c:v>34330</c:v>
                </c:pt>
                <c:pt idx="1">
                  <c:v>35600</c:v>
                </c:pt>
                <c:pt idx="2">
                  <c:v>33130</c:v>
                </c:pt>
                <c:pt idx="3">
                  <c:v>38800</c:v>
                </c:pt>
                <c:pt idx="4">
                  <c:v>35500</c:v>
                </c:pt>
                <c:pt idx="5">
                  <c:v>37430</c:v>
                </c:pt>
                <c:pt idx="6">
                  <c:v>31470</c:v>
                </c:pt>
                <c:pt idx="7">
                  <c:v>38770</c:v>
                </c:pt>
                <c:pt idx="8">
                  <c:v>27380</c:v>
                </c:pt>
                <c:pt idx="9">
                  <c:v>25750</c:v>
                </c:pt>
                <c:pt idx="10">
                  <c:v>29470</c:v>
                </c:pt>
                <c:pt idx="11">
                  <c:v>34530</c:v>
                </c:pt>
              </c:numCache>
            </c:numRef>
          </c:val>
          <c:smooth val="0"/>
          <c:extLst>
            <c:ext xmlns:c16="http://schemas.microsoft.com/office/drawing/2014/chart" uri="{C3380CC4-5D6E-409C-BE32-E72D297353CC}">
              <c16:uniqueId val="{00000001-6D62-4315-BB8C-0360EABC7054}"/>
            </c:ext>
          </c:extLst>
        </c:ser>
        <c:dLbls>
          <c:showLegendKey val="0"/>
          <c:showVal val="0"/>
          <c:showCatName val="0"/>
          <c:showSerName val="0"/>
          <c:showPercent val="0"/>
          <c:showBubbleSize val="0"/>
        </c:dLbls>
        <c:marker val="1"/>
        <c:smooth val="0"/>
        <c:axId val="84213760"/>
        <c:axId val="84217216"/>
      </c:lineChart>
      <c:catAx>
        <c:axId val="84213760"/>
        <c:scaling>
          <c:orientation val="minMax"/>
        </c:scaling>
        <c:delete val="0"/>
        <c:axPos val="b"/>
        <c:numFmt formatCode="General" sourceLinked="0"/>
        <c:majorTickMark val="out"/>
        <c:minorTickMark val="none"/>
        <c:tickLblPos val="nextTo"/>
        <c:crossAx val="84217216"/>
        <c:crosses val="autoZero"/>
        <c:auto val="1"/>
        <c:lblAlgn val="ctr"/>
        <c:lblOffset val="100"/>
        <c:noMultiLvlLbl val="0"/>
      </c:catAx>
      <c:valAx>
        <c:axId val="84217216"/>
        <c:scaling>
          <c:orientation val="minMax"/>
        </c:scaling>
        <c:delete val="0"/>
        <c:axPos val="l"/>
        <c:majorGridlines/>
        <c:numFmt formatCode="General" sourceLinked="1"/>
        <c:majorTickMark val="out"/>
        <c:minorTickMark val="none"/>
        <c:tickLblPos val="nextTo"/>
        <c:crossAx val="84213760"/>
        <c:crosses val="autoZero"/>
        <c:crossBetween val="between"/>
      </c:valAx>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257175</xdr:colOff>
      <xdr:row>0</xdr:row>
      <xdr:rowOff>0</xdr:rowOff>
    </xdr:from>
    <xdr:to>
      <xdr:col>8</xdr:col>
      <xdr:colOff>428625</xdr:colOff>
      <xdr:row>13</xdr:row>
      <xdr:rowOff>161925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619124</xdr:colOff>
      <xdr:row>17</xdr:row>
      <xdr:rowOff>9525</xdr:rowOff>
    </xdr:from>
    <xdr:to>
      <xdr:col>7</xdr:col>
      <xdr:colOff>361949</xdr:colOff>
      <xdr:row>28</xdr:row>
      <xdr:rowOff>57151</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752475</xdr:colOff>
      <xdr:row>30</xdr:row>
      <xdr:rowOff>28575</xdr:rowOff>
    </xdr:from>
    <xdr:to>
      <xdr:col>9</xdr:col>
      <xdr:colOff>95250</xdr:colOff>
      <xdr:row>41</xdr:row>
      <xdr:rowOff>28574</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219075</xdr:colOff>
      <xdr:row>47</xdr:row>
      <xdr:rowOff>161925</xdr:rowOff>
    </xdr:from>
    <xdr:to>
      <xdr:col>9</xdr:col>
      <xdr:colOff>142875</xdr:colOff>
      <xdr:row>60</xdr:row>
      <xdr:rowOff>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40218</xdr:colOff>
      <xdr:row>19</xdr:row>
      <xdr:rowOff>169333</xdr:rowOff>
    </xdr:from>
    <xdr:to>
      <xdr:col>10</xdr:col>
      <xdr:colOff>948267</xdr:colOff>
      <xdr:row>30</xdr:row>
      <xdr:rowOff>118532</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84665</xdr:colOff>
      <xdr:row>7</xdr:row>
      <xdr:rowOff>8467</xdr:rowOff>
    </xdr:from>
    <xdr:to>
      <xdr:col>10</xdr:col>
      <xdr:colOff>990600</xdr:colOff>
      <xdr:row>19</xdr:row>
      <xdr:rowOff>8467</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33867</xdr:colOff>
      <xdr:row>19</xdr:row>
      <xdr:rowOff>101600</xdr:rowOff>
    </xdr:from>
    <xdr:to>
      <xdr:col>4</xdr:col>
      <xdr:colOff>956734</xdr:colOff>
      <xdr:row>30</xdr:row>
      <xdr:rowOff>143933</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1087966</xdr:colOff>
      <xdr:row>7</xdr:row>
      <xdr:rowOff>59268</xdr:rowOff>
    </xdr:from>
    <xdr:to>
      <xdr:col>16</xdr:col>
      <xdr:colOff>389467</xdr:colOff>
      <xdr:row>17</xdr:row>
      <xdr:rowOff>88901</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7FF531A8-74F6-4F4A-A0F9-74F4A88A390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173633" y="1371601"/>
              <a:ext cx="3458634" cy="189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1041399</xdr:colOff>
      <xdr:row>18</xdr:row>
      <xdr:rowOff>8466</xdr:rowOff>
    </xdr:from>
    <xdr:to>
      <xdr:col>16</xdr:col>
      <xdr:colOff>389467</xdr:colOff>
      <xdr:row>25</xdr:row>
      <xdr:rowOff>93133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9AB690B9-4066-4C9C-809C-0AD8D9894C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27066" y="3369733"/>
              <a:ext cx="3505201" cy="1388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1045636</xdr:colOff>
      <xdr:row>26</xdr:row>
      <xdr:rowOff>65193</xdr:rowOff>
    </xdr:from>
    <xdr:to>
      <xdr:col>16</xdr:col>
      <xdr:colOff>440267</xdr:colOff>
      <xdr:row>31</xdr:row>
      <xdr:rowOff>101599</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8A001A01-6332-4136-B153-C3626CCC5A5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31303" y="4916593"/>
              <a:ext cx="3551764"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59266</xdr:colOff>
      <xdr:row>2</xdr:row>
      <xdr:rowOff>8468</xdr:rowOff>
    </xdr:from>
    <xdr:to>
      <xdr:col>16</xdr:col>
      <xdr:colOff>355600</xdr:colOff>
      <xdr:row>5</xdr:row>
      <xdr:rowOff>160869</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BE13AD4F-B613-4A31-A1EA-36C1B3172D4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254066" y="389468"/>
              <a:ext cx="3344334" cy="7112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33866</xdr:colOff>
      <xdr:row>6</xdr:row>
      <xdr:rowOff>177799</xdr:rowOff>
    </xdr:from>
    <xdr:to>
      <xdr:col>4</xdr:col>
      <xdr:colOff>965200</xdr:colOff>
      <xdr:row>19</xdr:row>
      <xdr:rowOff>50800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7.77456111111" createdVersion="3" refreshedVersion="3" minRefreshableVersion="3" recordCount="500" xr:uid="{00000000-000A-0000-FFFF-FFFF03000000}">
  <cacheSource type="worksheet">
    <worksheetSource name="Table1"/>
  </cacheSource>
  <cacheFields count="20">
    <cacheField name="Order_date" numFmtId="14">
      <sharedItems containsSemiMixedTypes="0" containsNonDate="0" containsDate="1" containsString="0" minDate="2024-01-01T00:00:00" maxDate="2024-12-29T00:00:00" count="265">
        <d v="2024-05-27T00:00:00"/>
        <d v="2024-10-18T00:00:00"/>
        <d v="2024-05-21T00:00:00"/>
        <d v="2024-04-05T00:00:00"/>
        <d v="2024-08-09T00:00:00"/>
        <d v="2024-03-24T00:00:00"/>
        <d v="2024-04-26T00:00:00"/>
        <d v="2024-02-04T00:00:00"/>
        <d v="2024-02-13T00:00:00"/>
        <d v="2024-04-23T00:00:00"/>
        <d v="2024-08-18T00:00:00"/>
        <d v="2024-03-15T00:00:00"/>
        <d v="2024-08-21T00:00:00"/>
        <d v="2024-02-02T00:00:00"/>
        <d v="2024-08-13T00:00:00"/>
        <d v="2024-01-23T00:00:00"/>
        <d v="2024-01-04T00:00:00"/>
        <d v="2024-04-20T00:00:00"/>
        <d v="2024-01-17T00:00:00"/>
        <d v="2024-10-19T00:00:00"/>
        <d v="2024-12-18T00:00:00"/>
        <d v="2024-12-27T00:00:00"/>
        <d v="2024-04-17T00:00:00"/>
        <d v="2024-02-05T00:00:00"/>
        <d v="2024-12-06T00:00:00"/>
        <d v="2024-07-22T00:00:00"/>
        <d v="2024-08-26T00:00:00"/>
        <d v="2024-06-19T00:00:00"/>
        <d v="2024-12-01T00:00:00"/>
        <d v="2024-09-21T00:00:00"/>
        <d v="2024-02-12T00:00:00"/>
        <d v="2024-09-20T00:00:00"/>
        <d v="2024-06-02T00:00:00"/>
        <d v="2024-01-10T00:00:00"/>
        <d v="2024-11-16T00:00:00"/>
        <d v="2024-02-21T00:00:00"/>
        <d v="2024-07-26T00:00:00"/>
        <d v="2024-10-28T00:00:00"/>
        <d v="2024-05-18T00:00:00"/>
        <d v="2024-10-05T00:00:00"/>
        <d v="2024-04-27T00:00:00"/>
        <d v="2024-01-16T00:00:00"/>
        <d v="2024-09-18T00:00:00"/>
        <d v="2024-07-14T00:00:00"/>
        <d v="2024-09-16T00:00:00"/>
        <d v="2024-03-02T00:00:00"/>
        <d v="2024-06-16T00:00:00"/>
        <d v="2024-12-15T00:00:00"/>
        <d v="2024-05-08T00:00:00"/>
        <d v="2024-10-16T00:00:00"/>
        <d v="2024-03-26T00:00:00"/>
        <d v="2024-03-01T00:00:00"/>
        <d v="2024-03-09T00:00:00"/>
        <d v="2024-02-24T00:00:00"/>
        <d v="2024-10-08T00:00:00"/>
        <d v="2024-06-22T00:00:00"/>
        <d v="2024-09-13T00:00:00"/>
        <d v="2024-03-23T00:00:00"/>
        <d v="2024-02-16T00:00:00"/>
        <d v="2024-10-02T00:00:00"/>
        <d v="2024-01-27T00:00:00"/>
        <d v="2024-11-05T00:00:00"/>
        <d v="2024-06-06T00:00:00"/>
        <d v="2024-11-08T00:00:00"/>
        <d v="2024-08-08T00:00:00"/>
        <d v="2024-06-27T00:00:00"/>
        <d v="2024-11-15T00:00:00"/>
        <d v="2024-06-20T00:00:00"/>
        <d v="2024-05-07T00:00:00"/>
        <d v="2024-11-10T00:00:00"/>
        <d v="2024-07-25T00:00:00"/>
        <d v="2024-07-06T00:00:00"/>
        <d v="2024-05-24T00:00:00"/>
        <d v="2024-12-11T00:00:00"/>
        <d v="2024-06-07T00:00:00"/>
        <d v="2024-05-15T00:00:00"/>
        <d v="2024-04-14T00:00:00"/>
        <d v="2024-06-24T00:00:00"/>
        <d v="2024-08-27T00:00:00"/>
        <d v="2024-08-17T00:00:00"/>
        <d v="2024-12-05T00:00:00"/>
        <d v="2024-04-18T00:00:00"/>
        <d v="2024-10-25T00:00:00"/>
        <d v="2024-05-09T00:00:00"/>
        <d v="2024-07-07T00:00:00"/>
        <d v="2024-01-05T00:00:00"/>
        <d v="2024-10-03T00:00:00"/>
        <d v="2024-11-22T00:00:00"/>
        <d v="2024-03-04T00:00:00"/>
        <d v="2024-06-14T00:00:00"/>
        <d v="2024-10-13T00:00:00"/>
        <d v="2024-11-21T00:00:00"/>
        <d v="2024-01-12T00:00:00"/>
        <d v="2024-01-09T00:00:00"/>
        <d v="2024-05-22T00:00:00"/>
        <d v="2024-11-19T00:00:00"/>
        <d v="2024-01-03T00:00:00"/>
        <d v="2024-08-04T00:00:00"/>
        <d v="2024-08-19T00:00:00"/>
        <d v="2024-09-27T00:00:00"/>
        <d v="2024-09-01T00:00:00"/>
        <d v="2024-02-09T00:00:00"/>
        <d v="2024-04-03T00:00:00"/>
        <d v="2024-08-16T00:00:00"/>
        <d v="2024-02-19T00:00:00"/>
        <d v="2024-02-20T00:00:00"/>
        <d v="2024-09-25T00:00:00"/>
        <d v="2024-08-10T00:00:00"/>
        <d v="2024-06-08T00:00:00"/>
        <d v="2024-11-07T00:00:00"/>
        <d v="2024-12-14T00:00:00"/>
        <d v="2024-03-05T00:00:00"/>
        <d v="2024-12-20T00:00:00"/>
        <d v="2024-02-07T00:00:00"/>
        <d v="2024-09-26T00:00:00"/>
        <d v="2024-07-12T00:00:00"/>
        <d v="2024-06-21T00:00:00"/>
        <d v="2024-07-15T00:00:00"/>
        <d v="2024-03-06T00:00:00"/>
        <d v="2024-03-11T00:00:00"/>
        <d v="2024-03-22T00:00:00"/>
        <d v="2024-10-20T00:00:00"/>
        <d v="2024-08-20T00:00:00"/>
        <d v="2024-09-09T00:00:00"/>
        <d v="2024-03-21T00:00:00"/>
        <d v="2024-07-20T00:00:00"/>
        <d v="2024-01-19T00:00:00"/>
        <d v="2024-09-14T00:00:00"/>
        <d v="2024-08-23T00:00:00"/>
        <d v="2024-08-11T00:00:00"/>
        <d v="2024-07-02T00:00:00"/>
        <d v="2024-10-22T00:00:00"/>
        <d v="2024-12-19T00:00:00"/>
        <d v="2024-05-26T00:00:00"/>
        <d v="2024-08-02T00:00:00"/>
        <d v="2024-10-23T00:00:00"/>
        <d v="2024-06-23T00:00:00"/>
        <d v="2024-12-26T00:00:00"/>
        <d v="2024-08-28T00:00:00"/>
        <d v="2024-07-21T00:00:00"/>
        <d v="2024-01-26T00:00:00"/>
        <d v="2024-09-24T00:00:00"/>
        <d v="2024-06-11T00:00:00"/>
        <d v="2024-01-07T00:00:00"/>
        <d v="2024-02-15T00:00:00"/>
        <d v="2024-03-13T00:00:00"/>
        <d v="2024-03-27T00:00:00"/>
        <d v="2024-11-27T00:00:00"/>
        <d v="2024-10-10T00:00:00"/>
        <d v="2024-10-11T00:00:00"/>
        <d v="2024-10-07T00:00:00"/>
        <d v="2024-02-01T00:00:00"/>
        <d v="2024-09-07T00:00:00"/>
        <d v="2024-07-03T00:00:00"/>
        <d v="2024-01-13T00:00:00"/>
        <d v="2024-07-05T00:00:00"/>
        <d v="2024-02-08T00:00:00"/>
        <d v="2024-05-19T00:00:00"/>
        <d v="2024-09-11T00:00:00"/>
        <d v="2024-02-10T00:00:00"/>
        <d v="2024-04-13T00:00:00"/>
        <d v="2024-05-10T00:00:00"/>
        <d v="2024-11-06T00:00:00"/>
        <d v="2024-11-26T00:00:00"/>
        <d v="2024-04-19T00:00:00"/>
        <d v="2024-10-09T00:00:00"/>
        <d v="2024-12-24T00:00:00"/>
        <d v="2024-11-13T00:00:00"/>
        <d v="2024-05-03T00:00:00"/>
        <d v="2024-01-25T00:00:00"/>
        <d v="2024-08-22T00:00:00"/>
        <d v="2024-08-07T00:00:00"/>
        <d v="2024-10-06T00:00:00"/>
        <d v="2024-11-23T00:00:00"/>
        <d v="2024-03-25T00:00:00"/>
        <d v="2024-11-24T00:00:00"/>
        <d v="2024-06-17T00:00:00"/>
        <d v="2024-01-06T00:00:00"/>
        <d v="2024-04-12T00:00:00"/>
        <d v="2024-08-01T00:00:00"/>
        <d v="2024-12-13T00:00:00"/>
        <d v="2024-10-14T00:00:00"/>
        <d v="2024-04-10T00:00:00"/>
        <d v="2024-12-10T00:00:00"/>
        <d v="2024-01-20T00:00:00"/>
        <d v="2024-01-02T00:00:00"/>
        <d v="2024-05-17T00:00:00"/>
        <d v="2024-07-16T00:00:00"/>
        <d v="2024-04-25T00:00:00"/>
        <d v="2024-11-04T00:00:00"/>
        <d v="2024-09-22T00:00:00"/>
        <d v="2024-12-07T00:00:00"/>
        <d v="2024-05-25T00:00:00"/>
        <d v="2024-05-20T00:00:00"/>
        <d v="2024-05-28T00:00:00"/>
        <d v="2024-07-04T00:00:00"/>
        <d v="2024-02-26T00:00:00"/>
        <d v="2024-07-10T00:00:00"/>
        <d v="2024-11-20T00:00:00"/>
        <d v="2024-04-22T00:00:00"/>
        <d v="2024-04-15T00:00:00"/>
        <d v="2024-12-22T00:00:00"/>
        <d v="2024-06-15T00:00:00"/>
        <d v="2024-03-08T00:00:00"/>
        <d v="2024-05-14T00:00:00"/>
        <d v="2024-12-03T00:00:00"/>
        <d v="2024-03-10T00:00:00"/>
        <d v="2024-10-24T00:00:00"/>
        <d v="2024-11-02T00:00:00"/>
        <d v="2024-03-14T00:00:00"/>
        <d v="2024-01-01T00:00:00"/>
        <d v="2024-03-12T00:00:00"/>
        <d v="2024-04-08T00:00:00"/>
        <d v="2024-11-09T00:00:00"/>
        <d v="2024-07-28T00:00:00"/>
        <d v="2024-06-10T00:00:00"/>
        <d v="2024-11-03T00:00:00"/>
        <d v="2024-04-11T00:00:00"/>
        <d v="2024-11-14T00:00:00"/>
        <d v="2024-06-18T00:00:00"/>
        <d v="2024-08-15T00:00:00"/>
        <d v="2024-02-25T00:00:00"/>
        <d v="2024-05-01T00:00:00"/>
        <d v="2024-02-11T00:00:00"/>
        <d v="2024-06-05T00:00:00"/>
        <d v="2024-01-24T00:00:00"/>
        <d v="2024-09-03T00:00:00"/>
        <d v="2024-03-28T00:00:00"/>
        <d v="2024-06-13T00:00:00"/>
        <d v="2024-02-06T00:00:00"/>
        <d v="2024-09-17T00:00:00"/>
        <d v="2024-12-28T00:00:00"/>
        <d v="2024-12-02T00:00:00"/>
        <d v="2024-06-04T00:00:00"/>
        <d v="2024-04-04T00:00:00"/>
        <d v="2024-05-06T00:00:00"/>
        <d v="2024-12-08T00:00:00"/>
        <d v="2024-09-10T00:00:00"/>
        <d v="2024-08-03T00:00:00"/>
        <d v="2024-03-07T00:00:00"/>
        <d v="2024-01-28T00:00:00"/>
        <d v="2024-06-12T00:00:00"/>
        <d v="2024-04-02T00:00:00"/>
        <d v="2024-06-01T00:00:00"/>
        <d v="2024-09-02T00:00:00"/>
        <d v="2024-07-23T00:00:00"/>
        <d v="2024-02-22T00:00:00"/>
        <d v="2024-11-01T00:00:00"/>
        <d v="2024-11-28T00:00:00"/>
        <d v="2024-01-21T00:00:00"/>
        <d v="2024-12-09T00:00:00"/>
        <d v="2024-08-25T00:00:00"/>
        <d v="2024-09-12T00:00:00"/>
        <d v="2024-11-17T00:00:00"/>
        <d v="2024-03-19T00:00:00"/>
        <d v="2024-08-05T00:00:00"/>
        <d v="2024-02-27T00:00:00"/>
        <d v="2024-10-12T00:00:00"/>
        <d v="2024-05-16T00:00:00"/>
        <d v="2024-11-11T00:00:00"/>
        <d v="2024-12-12T00:00:00"/>
        <d v="2024-12-23T00:00:00"/>
        <d v="2024-04-28T00:00:00"/>
        <d v="2024-09-23T00:00:00"/>
        <d v="2024-12-04T00:00:00"/>
      </sharedItems>
    </cacheField>
    <cacheField name="Order_ID" numFmtId="0">
      <sharedItems containsSemiMixedTypes="0" containsString="0" containsNumber="1" containsInteger="1" minValue="3001" maxValue="3500"/>
    </cacheField>
    <cacheField name="Product_ID" numFmtId="0">
      <sharedItems containsSemiMixedTypes="0" containsString="0" containsNumber="1" containsInteger="1" minValue="1001" maxValue="1020"/>
    </cacheField>
    <cacheField name="Customer_ID" numFmtId="0">
      <sharedItems containsSemiMixedTypes="0" containsString="0" containsNumber="1" containsInteger="1" minValue="2001" maxValue="2050"/>
    </cacheField>
    <cacheField name="Quantity" numFmtId="0">
      <sharedItems containsSemiMixedTypes="0" containsString="0" containsNumber="1" containsInteger="1" minValue="1" maxValue="10"/>
    </cacheField>
    <cacheField name="Age" numFmtId="0">
      <sharedItems containsSemiMixedTypes="0" containsString="0" containsNumber="1" containsInteger="1" minValue="18" maxValue="58"/>
    </cacheField>
    <cacheField name="Gender" numFmtId="0">
      <sharedItems count="2">
        <s v="Female"/>
        <s v="Male"/>
      </sharedItems>
    </cacheField>
    <cacheField name="City" numFmtId="0">
      <sharedItems count="6">
        <s v="Delhi"/>
        <s v="Bangalore"/>
        <s v="Hyderabad"/>
        <s v="Chandigarh"/>
        <s v="Pune"/>
        <s v="Mumbai"/>
      </sharedItems>
    </cacheField>
    <cacheField name="Product_Name" numFmtId="0">
      <sharedItems/>
    </cacheField>
    <cacheField name="Category" numFmtId="0">
      <sharedItems count="4">
        <s v="Electronics"/>
        <s v="Office"/>
        <s v="Accessories"/>
        <s v="Fitness"/>
      </sharedItems>
    </cacheField>
    <cacheField name="Unit_Cost" numFmtId="165">
      <sharedItems containsSemiMixedTypes="0" containsString="0" containsNumber="1" containsInteger="1" minValue="50" maxValue="400"/>
    </cacheField>
    <cacheField name="Unit_Price" numFmtId="165">
      <sharedItems containsSemiMixedTypes="0" containsString="0" containsNumber="1" containsInteger="1" minValue="180" maxValue="560"/>
    </cacheField>
    <cacheField name="Cost" numFmtId="165">
      <sharedItems containsSemiMixedTypes="0" containsString="0" containsNumber="1" containsInteger="1" minValue="50" maxValue="4000"/>
    </cacheField>
    <cacheField name="Revenue" numFmtId="165">
      <sharedItems containsSemiMixedTypes="0" containsString="0" containsNumber="1" containsInteger="1" minValue="180" maxValue="5600"/>
    </cacheField>
    <cacheField name="Profit" numFmtId="165">
      <sharedItems containsSemiMixedTypes="0" containsString="0" containsNumber="1" containsInteger="1" minValue="60" maxValue="2500"/>
    </cacheField>
    <cacheField name="Profit_margin" numFmtId="9">
      <sharedItems containsSemiMixedTypes="0" containsString="0" containsNumber="1" minValue="0.20930232558139536" maxValue="0.77272727272727271"/>
    </cacheField>
    <cacheField name="Order_value_category" numFmtId="0">
      <sharedItems/>
    </cacheField>
    <cacheField name="Customer_age_group" numFmtId="0">
      <sharedItems count="3">
        <s v="Senior"/>
        <s v="Middle_age"/>
        <s v="Young"/>
      </sharedItems>
    </cacheField>
    <cacheField name="Profit_category" numFmtId="0">
      <sharedItems/>
    </cacheField>
    <cacheField name="Month" numFmtId="14">
      <sharedItems count="12">
        <s v="May"/>
        <s v="Oct"/>
        <s v="Apr"/>
        <s v="Aug"/>
        <s v="Mar"/>
        <s v="Feb"/>
        <s v="Jan"/>
        <s v="Dec"/>
        <s v="Jul"/>
        <s v="Jun"/>
        <s v="Sep"/>
        <s v="Nov"/>
      </sharedItems>
    </cacheField>
  </cacheFields>
  <extLst>
    <ext xmlns:x14="http://schemas.microsoft.com/office/spreadsheetml/2009/9/main" uri="{725AE2AE-9491-48be-B2B4-4EB974FC3084}">
      <x14:pivotCacheDefinition pivotCacheId="997385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3001"/>
    <n v="1004"/>
    <n v="2050"/>
    <n v="6"/>
    <n v="54"/>
    <x v="0"/>
    <x v="0"/>
    <s v="Speaker"/>
    <x v="0"/>
    <n v="230"/>
    <n v="440"/>
    <n v="1380"/>
    <n v="2640"/>
    <n v="1260"/>
    <n v="0.47727272727272729"/>
    <s v="High_order"/>
    <x v="0"/>
    <s v="High_profit"/>
    <x v="0"/>
  </r>
  <r>
    <x v="1"/>
    <n v="3002"/>
    <n v="1015"/>
    <n v="2031"/>
    <n v="2"/>
    <n v="38"/>
    <x v="1"/>
    <x v="1"/>
    <s v="Organizer"/>
    <x v="1"/>
    <n v="70"/>
    <n v="210"/>
    <n v="140"/>
    <n v="420"/>
    <n v="280"/>
    <n v="0.66666666666666663"/>
    <s v="Low_order"/>
    <x v="1"/>
    <s v="High_profit"/>
    <x v="1"/>
  </r>
  <r>
    <x v="2"/>
    <n v="3003"/>
    <n v="1006"/>
    <n v="2005"/>
    <n v="3"/>
    <n v="56"/>
    <x v="0"/>
    <x v="2"/>
    <s v="Phone Case"/>
    <x v="2"/>
    <n v="320"/>
    <n v="430"/>
    <n v="960"/>
    <n v="1290"/>
    <n v="330"/>
    <n v="0.2558139534883721"/>
    <s v="Medium_order"/>
    <x v="0"/>
    <s v="Low_profit"/>
    <x v="0"/>
  </r>
  <r>
    <x v="3"/>
    <n v="3004"/>
    <n v="1014"/>
    <n v="2042"/>
    <n v="1"/>
    <n v="18"/>
    <x v="0"/>
    <x v="1"/>
    <s v="Stapler"/>
    <x v="1"/>
    <n v="170"/>
    <n v="280"/>
    <n v="170"/>
    <n v="280"/>
    <n v="110"/>
    <n v="0.39285714285714285"/>
    <s v="Low_order"/>
    <x v="2"/>
    <s v="Medium_profit"/>
    <x v="2"/>
  </r>
  <r>
    <x v="4"/>
    <n v="3005"/>
    <n v="1014"/>
    <n v="2024"/>
    <n v="1"/>
    <n v="26"/>
    <x v="0"/>
    <x v="0"/>
    <s v="Stapler"/>
    <x v="1"/>
    <n v="170"/>
    <n v="280"/>
    <n v="170"/>
    <n v="280"/>
    <n v="110"/>
    <n v="0.39285714285714285"/>
    <s v="Low_order"/>
    <x v="2"/>
    <s v="Medium_profit"/>
    <x v="3"/>
  </r>
  <r>
    <x v="5"/>
    <n v="3006"/>
    <n v="1004"/>
    <n v="2001"/>
    <n v="9"/>
    <n v="44"/>
    <x v="1"/>
    <x v="0"/>
    <s v="Speaker"/>
    <x v="0"/>
    <n v="230"/>
    <n v="440"/>
    <n v="2070"/>
    <n v="3960"/>
    <n v="1890"/>
    <n v="0.47727272727272729"/>
    <s v="High_order"/>
    <x v="0"/>
    <s v="High_profit"/>
    <x v="4"/>
  </r>
  <r>
    <x v="6"/>
    <n v="3007"/>
    <n v="1009"/>
    <n v="2033"/>
    <n v="2"/>
    <n v="43"/>
    <x v="0"/>
    <x v="2"/>
    <s v="Power Bank"/>
    <x v="2"/>
    <n v="50"/>
    <n v="220"/>
    <n v="100"/>
    <n v="440"/>
    <n v="340"/>
    <n v="0.77272727272727271"/>
    <s v="Low_order"/>
    <x v="0"/>
    <s v="High_profit"/>
    <x v="2"/>
  </r>
  <r>
    <x v="7"/>
    <n v="3008"/>
    <n v="1019"/>
    <n v="2011"/>
    <n v="5"/>
    <n v="33"/>
    <x v="0"/>
    <x v="3"/>
    <s v="Skipping Rope"/>
    <x v="3"/>
    <n v="140"/>
    <n v="270"/>
    <n v="700"/>
    <n v="1350"/>
    <n v="650"/>
    <n v="0.48148148148148145"/>
    <s v="Medium_order"/>
    <x v="1"/>
    <s v="High_profit"/>
    <x v="5"/>
  </r>
  <r>
    <x v="8"/>
    <n v="3009"/>
    <n v="1002"/>
    <n v="2042"/>
    <n v="6"/>
    <n v="18"/>
    <x v="0"/>
    <x v="1"/>
    <s v="Keyboard"/>
    <x v="0"/>
    <n v="230"/>
    <n v="400"/>
    <n v="1380"/>
    <n v="2400"/>
    <n v="1020"/>
    <n v="0.42499999999999999"/>
    <s v="Medium_order"/>
    <x v="2"/>
    <s v="High_profit"/>
    <x v="5"/>
  </r>
  <r>
    <x v="9"/>
    <n v="3010"/>
    <n v="1016"/>
    <n v="2004"/>
    <n v="10"/>
    <n v="25"/>
    <x v="1"/>
    <x v="4"/>
    <s v="Yoga Mat"/>
    <x v="3"/>
    <n v="330"/>
    <n v="490"/>
    <n v="3300"/>
    <n v="4900"/>
    <n v="1600"/>
    <n v="0.32653061224489793"/>
    <s v="High_order"/>
    <x v="2"/>
    <s v="Medium_profit"/>
    <x v="2"/>
  </r>
  <r>
    <x v="10"/>
    <n v="3011"/>
    <n v="1018"/>
    <n v="2007"/>
    <n v="10"/>
    <n v="34"/>
    <x v="1"/>
    <x v="1"/>
    <s v="Resistance Band"/>
    <x v="3"/>
    <n v="310"/>
    <n v="480"/>
    <n v="3100"/>
    <n v="4800"/>
    <n v="1700"/>
    <n v="0.35416666666666669"/>
    <s v="High_order"/>
    <x v="1"/>
    <s v="Medium_profit"/>
    <x v="3"/>
  </r>
  <r>
    <x v="11"/>
    <n v="3012"/>
    <n v="1008"/>
    <n v="2034"/>
    <n v="6"/>
    <n v="48"/>
    <x v="0"/>
    <x v="4"/>
    <s v="USB Cable"/>
    <x v="2"/>
    <n v="340"/>
    <n v="430"/>
    <n v="2040"/>
    <n v="2580"/>
    <n v="540"/>
    <n v="0.20930232558139536"/>
    <s v="High_order"/>
    <x v="0"/>
    <s v="Low_profit"/>
    <x v="4"/>
  </r>
  <r>
    <x v="10"/>
    <n v="3013"/>
    <n v="1014"/>
    <n v="2016"/>
    <n v="4"/>
    <n v="29"/>
    <x v="0"/>
    <x v="3"/>
    <s v="Stapler"/>
    <x v="1"/>
    <n v="170"/>
    <n v="280"/>
    <n v="680"/>
    <n v="1120"/>
    <n v="440"/>
    <n v="0.39285714285714285"/>
    <s v="Low_order"/>
    <x v="2"/>
    <s v="Medium_profit"/>
    <x v="3"/>
  </r>
  <r>
    <x v="12"/>
    <n v="3014"/>
    <n v="1017"/>
    <n v="2039"/>
    <n v="3"/>
    <n v="52"/>
    <x v="0"/>
    <x v="0"/>
    <s v="Dumbbells"/>
    <x v="3"/>
    <n v="120"/>
    <n v="200"/>
    <n v="360"/>
    <n v="600"/>
    <n v="240"/>
    <n v="0.4"/>
    <s v="Low_order"/>
    <x v="0"/>
    <s v="Medium_profit"/>
    <x v="3"/>
  </r>
  <r>
    <x v="13"/>
    <n v="3015"/>
    <n v="1007"/>
    <n v="2003"/>
    <n v="9"/>
    <n v="23"/>
    <x v="0"/>
    <x v="1"/>
    <s v="Charger"/>
    <x v="2"/>
    <n v="160"/>
    <n v="230"/>
    <n v="1440"/>
    <n v="2070"/>
    <n v="630"/>
    <n v="0.30434782608695654"/>
    <s v="Medium_order"/>
    <x v="2"/>
    <s v="Low_profit"/>
    <x v="5"/>
  </r>
  <r>
    <x v="14"/>
    <n v="3016"/>
    <n v="1006"/>
    <n v="2049"/>
    <n v="4"/>
    <n v="44"/>
    <x v="0"/>
    <x v="0"/>
    <s v="Phone Case"/>
    <x v="2"/>
    <n v="320"/>
    <n v="430"/>
    <n v="1280"/>
    <n v="1720"/>
    <n v="440"/>
    <n v="0.2558139534883721"/>
    <s v="Medium_order"/>
    <x v="0"/>
    <s v="Low_profit"/>
    <x v="3"/>
  </r>
  <r>
    <x v="15"/>
    <n v="3017"/>
    <n v="1020"/>
    <n v="2017"/>
    <n v="6"/>
    <n v="32"/>
    <x v="1"/>
    <x v="0"/>
    <s v="Water Bottle"/>
    <x v="3"/>
    <n v="400"/>
    <n v="560"/>
    <n v="2400"/>
    <n v="3360"/>
    <n v="960"/>
    <n v="0.2857142857142857"/>
    <s v="High_order"/>
    <x v="1"/>
    <s v="Low_profit"/>
    <x v="6"/>
  </r>
  <r>
    <x v="16"/>
    <n v="3018"/>
    <n v="1016"/>
    <n v="2002"/>
    <n v="6"/>
    <n v="33"/>
    <x v="1"/>
    <x v="0"/>
    <s v="Yoga Mat"/>
    <x v="3"/>
    <n v="330"/>
    <n v="490"/>
    <n v="1980"/>
    <n v="2940"/>
    <n v="960"/>
    <n v="0.32653061224489793"/>
    <s v="High_order"/>
    <x v="1"/>
    <s v="Medium_profit"/>
    <x v="6"/>
  </r>
  <r>
    <x v="17"/>
    <n v="3019"/>
    <n v="1011"/>
    <n v="2010"/>
    <n v="9"/>
    <n v="38"/>
    <x v="0"/>
    <x v="5"/>
    <s v="Notebook"/>
    <x v="1"/>
    <n v="120"/>
    <n v="180"/>
    <n v="1080"/>
    <n v="1620"/>
    <n v="540"/>
    <n v="0.33333333333333331"/>
    <s v="Medium_order"/>
    <x v="1"/>
    <s v="Medium_profit"/>
    <x v="2"/>
  </r>
  <r>
    <x v="18"/>
    <n v="3020"/>
    <n v="1009"/>
    <n v="2014"/>
    <n v="5"/>
    <n v="58"/>
    <x v="0"/>
    <x v="3"/>
    <s v="Power Bank"/>
    <x v="2"/>
    <n v="50"/>
    <n v="220"/>
    <n v="250"/>
    <n v="1100"/>
    <n v="850"/>
    <n v="0.77272727272727271"/>
    <s v="Low_order"/>
    <x v="0"/>
    <s v="High_profit"/>
    <x v="6"/>
  </r>
  <r>
    <x v="19"/>
    <n v="3021"/>
    <n v="1007"/>
    <n v="2029"/>
    <n v="3"/>
    <n v="53"/>
    <x v="1"/>
    <x v="0"/>
    <s v="Charger"/>
    <x v="2"/>
    <n v="160"/>
    <n v="230"/>
    <n v="480"/>
    <n v="690"/>
    <n v="210"/>
    <n v="0.30434782608695654"/>
    <s v="Low_order"/>
    <x v="0"/>
    <s v="Low_profit"/>
    <x v="1"/>
  </r>
  <r>
    <x v="20"/>
    <n v="3022"/>
    <n v="1011"/>
    <n v="2002"/>
    <n v="1"/>
    <n v="33"/>
    <x v="1"/>
    <x v="0"/>
    <s v="Notebook"/>
    <x v="1"/>
    <n v="120"/>
    <n v="180"/>
    <n v="120"/>
    <n v="180"/>
    <n v="60"/>
    <n v="0.33333333333333331"/>
    <s v="Low_order"/>
    <x v="1"/>
    <s v="Medium_profit"/>
    <x v="7"/>
  </r>
  <r>
    <x v="21"/>
    <n v="3023"/>
    <n v="1014"/>
    <n v="2012"/>
    <n v="2"/>
    <n v="21"/>
    <x v="0"/>
    <x v="2"/>
    <s v="Stapler"/>
    <x v="1"/>
    <n v="170"/>
    <n v="280"/>
    <n v="340"/>
    <n v="560"/>
    <n v="220"/>
    <n v="0.39285714285714285"/>
    <s v="Low_order"/>
    <x v="2"/>
    <s v="Medium_profit"/>
    <x v="7"/>
  </r>
  <r>
    <x v="22"/>
    <n v="3024"/>
    <n v="1003"/>
    <n v="2026"/>
    <n v="9"/>
    <n v="27"/>
    <x v="0"/>
    <x v="5"/>
    <s v="Mouse"/>
    <x v="0"/>
    <n v="140"/>
    <n v="350"/>
    <n v="1260"/>
    <n v="3150"/>
    <n v="1890"/>
    <n v="0.6"/>
    <s v="High_order"/>
    <x v="2"/>
    <s v="High_profit"/>
    <x v="2"/>
  </r>
  <r>
    <x v="23"/>
    <n v="3025"/>
    <n v="1017"/>
    <n v="2012"/>
    <n v="7"/>
    <n v="21"/>
    <x v="0"/>
    <x v="2"/>
    <s v="Dumbbells"/>
    <x v="3"/>
    <n v="120"/>
    <n v="200"/>
    <n v="840"/>
    <n v="1400"/>
    <n v="560"/>
    <n v="0.4"/>
    <s v="Medium_order"/>
    <x v="2"/>
    <s v="Medium_profit"/>
    <x v="5"/>
  </r>
  <r>
    <x v="24"/>
    <n v="3026"/>
    <n v="1019"/>
    <n v="2009"/>
    <n v="4"/>
    <n v="57"/>
    <x v="0"/>
    <x v="4"/>
    <s v="Skipping Rope"/>
    <x v="3"/>
    <n v="140"/>
    <n v="270"/>
    <n v="560"/>
    <n v="1080"/>
    <n v="520"/>
    <n v="0.48148148148148145"/>
    <s v="Low_order"/>
    <x v="0"/>
    <s v="High_profit"/>
    <x v="7"/>
  </r>
  <r>
    <x v="25"/>
    <n v="3027"/>
    <n v="1020"/>
    <n v="2004"/>
    <n v="4"/>
    <n v="25"/>
    <x v="1"/>
    <x v="4"/>
    <s v="Water Bottle"/>
    <x v="3"/>
    <n v="400"/>
    <n v="560"/>
    <n v="1600"/>
    <n v="2240"/>
    <n v="640"/>
    <n v="0.2857142857142857"/>
    <s v="Medium_order"/>
    <x v="2"/>
    <s v="Low_profit"/>
    <x v="8"/>
  </r>
  <r>
    <x v="26"/>
    <n v="3028"/>
    <n v="1013"/>
    <n v="2017"/>
    <n v="4"/>
    <n v="32"/>
    <x v="1"/>
    <x v="0"/>
    <s v="Desk Lamp"/>
    <x v="1"/>
    <n v="140"/>
    <n v="390"/>
    <n v="560"/>
    <n v="1560"/>
    <n v="1000"/>
    <n v="0.64102564102564108"/>
    <s v="Medium_order"/>
    <x v="1"/>
    <s v="High_profit"/>
    <x v="3"/>
  </r>
  <r>
    <x v="27"/>
    <n v="3029"/>
    <n v="1015"/>
    <n v="2045"/>
    <n v="8"/>
    <n v="36"/>
    <x v="1"/>
    <x v="0"/>
    <s v="Organizer"/>
    <x v="1"/>
    <n v="70"/>
    <n v="210"/>
    <n v="560"/>
    <n v="1680"/>
    <n v="1120"/>
    <n v="0.66666666666666663"/>
    <s v="Medium_order"/>
    <x v="1"/>
    <s v="High_profit"/>
    <x v="9"/>
  </r>
  <r>
    <x v="28"/>
    <n v="3030"/>
    <n v="1012"/>
    <n v="2017"/>
    <n v="2"/>
    <n v="32"/>
    <x v="1"/>
    <x v="0"/>
    <s v="Pen Set"/>
    <x v="1"/>
    <n v="380"/>
    <n v="510"/>
    <n v="760"/>
    <n v="1020"/>
    <n v="260"/>
    <n v="0.25490196078431371"/>
    <s v="Low_order"/>
    <x v="1"/>
    <s v="Low_profit"/>
    <x v="7"/>
  </r>
  <r>
    <x v="29"/>
    <n v="3031"/>
    <n v="1017"/>
    <n v="2048"/>
    <n v="3"/>
    <n v="41"/>
    <x v="0"/>
    <x v="5"/>
    <s v="Dumbbells"/>
    <x v="3"/>
    <n v="120"/>
    <n v="200"/>
    <n v="360"/>
    <n v="600"/>
    <n v="240"/>
    <n v="0.4"/>
    <s v="Low_order"/>
    <x v="0"/>
    <s v="Medium_profit"/>
    <x v="10"/>
  </r>
  <r>
    <x v="30"/>
    <n v="3032"/>
    <n v="1017"/>
    <n v="2044"/>
    <n v="1"/>
    <n v="44"/>
    <x v="0"/>
    <x v="5"/>
    <s v="Dumbbells"/>
    <x v="3"/>
    <n v="120"/>
    <n v="200"/>
    <n v="120"/>
    <n v="200"/>
    <n v="80"/>
    <n v="0.4"/>
    <s v="Low_order"/>
    <x v="0"/>
    <s v="Medium_profit"/>
    <x v="5"/>
  </r>
  <r>
    <x v="31"/>
    <n v="3033"/>
    <n v="1015"/>
    <n v="2036"/>
    <n v="4"/>
    <n v="30"/>
    <x v="1"/>
    <x v="0"/>
    <s v="Organizer"/>
    <x v="1"/>
    <n v="70"/>
    <n v="210"/>
    <n v="280"/>
    <n v="840"/>
    <n v="560"/>
    <n v="0.66666666666666663"/>
    <s v="Low_order"/>
    <x v="2"/>
    <s v="High_profit"/>
    <x v="10"/>
  </r>
  <r>
    <x v="32"/>
    <n v="3034"/>
    <n v="1020"/>
    <n v="2036"/>
    <n v="2"/>
    <n v="30"/>
    <x v="1"/>
    <x v="0"/>
    <s v="Water Bottle"/>
    <x v="3"/>
    <n v="400"/>
    <n v="560"/>
    <n v="800"/>
    <n v="1120"/>
    <n v="320"/>
    <n v="0.2857142857142857"/>
    <s v="Low_order"/>
    <x v="2"/>
    <s v="Low_profit"/>
    <x v="9"/>
  </r>
  <r>
    <x v="33"/>
    <n v="3035"/>
    <n v="1016"/>
    <n v="2020"/>
    <n v="2"/>
    <n v="27"/>
    <x v="1"/>
    <x v="3"/>
    <s v="Yoga Mat"/>
    <x v="3"/>
    <n v="330"/>
    <n v="490"/>
    <n v="660"/>
    <n v="980"/>
    <n v="320"/>
    <n v="0.32653061224489793"/>
    <s v="Low_order"/>
    <x v="2"/>
    <s v="Medium_profit"/>
    <x v="6"/>
  </r>
  <r>
    <x v="34"/>
    <n v="3036"/>
    <n v="1003"/>
    <n v="2041"/>
    <n v="8"/>
    <n v="28"/>
    <x v="1"/>
    <x v="4"/>
    <s v="Mouse"/>
    <x v="0"/>
    <n v="140"/>
    <n v="350"/>
    <n v="1120"/>
    <n v="2800"/>
    <n v="1680"/>
    <n v="0.6"/>
    <s v="High_order"/>
    <x v="2"/>
    <s v="High_profit"/>
    <x v="11"/>
  </r>
  <r>
    <x v="35"/>
    <n v="3037"/>
    <n v="1011"/>
    <n v="2035"/>
    <n v="3"/>
    <n v="37"/>
    <x v="0"/>
    <x v="0"/>
    <s v="Notebook"/>
    <x v="1"/>
    <n v="120"/>
    <n v="180"/>
    <n v="360"/>
    <n v="540"/>
    <n v="180"/>
    <n v="0.33333333333333331"/>
    <s v="Low_order"/>
    <x v="1"/>
    <s v="Medium_profit"/>
    <x v="5"/>
  </r>
  <r>
    <x v="36"/>
    <n v="3038"/>
    <n v="1006"/>
    <n v="2011"/>
    <n v="3"/>
    <n v="33"/>
    <x v="0"/>
    <x v="3"/>
    <s v="Phone Case"/>
    <x v="2"/>
    <n v="320"/>
    <n v="430"/>
    <n v="960"/>
    <n v="1290"/>
    <n v="330"/>
    <n v="0.2558139534883721"/>
    <s v="Medium_order"/>
    <x v="1"/>
    <s v="Low_profit"/>
    <x v="8"/>
  </r>
  <r>
    <x v="37"/>
    <n v="3039"/>
    <n v="1005"/>
    <n v="2002"/>
    <n v="1"/>
    <n v="33"/>
    <x v="1"/>
    <x v="0"/>
    <s v="Webcam"/>
    <x v="0"/>
    <n v="340"/>
    <n v="520"/>
    <n v="340"/>
    <n v="520"/>
    <n v="180"/>
    <n v="0.34615384615384615"/>
    <s v="Low_order"/>
    <x v="1"/>
    <s v="Medium_profit"/>
    <x v="1"/>
  </r>
  <r>
    <x v="27"/>
    <n v="3040"/>
    <n v="1018"/>
    <n v="2001"/>
    <n v="5"/>
    <n v="44"/>
    <x v="1"/>
    <x v="0"/>
    <s v="Resistance Band"/>
    <x v="3"/>
    <n v="310"/>
    <n v="480"/>
    <n v="1550"/>
    <n v="2400"/>
    <n v="850"/>
    <n v="0.35416666666666669"/>
    <s v="Medium_order"/>
    <x v="0"/>
    <s v="Medium_profit"/>
    <x v="9"/>
  </r>
  <r>
    <x v="38"/>
    <n v="3041"/>
    <n v="1003"/>
    <n v="2035"/>
    <n v="6"/>
    <n v="37"/>
    <x v="0"/>
    <x v="0"/>
    <s v="Mouse"/>
    <x v="0"/>
    <n v="140"/>
    <n v="350"/>
    <n v="840"/>
    <n v="2100"/>
    <n v="1260"/>
    <n v="0.6"/>
    <s v="Medium_order"/>
    <x v="1"/>
    <s v="High_profit"/>
    <x v="0"/>
  </r>
  <r>
    <x v="39"/>
    <n v="3042"/>
    <n v="1001"/>
    <n v="2024"/>
    <n v="5"/>
    <n v="26"/>
    <x v="0"/>
    <x v="0"/>
    <s v="Headphones"/>
    <x v="0"/>
    <n v="380"/>
    <n v="550"/>
    <n v="1900"/>
    <n v="2750"/>
    <n v="850"/>
    <n v="0.30909090909090908"/>
    <s v="High_order"/>
    <x v="2"/>
    <s v="Low_profit"/>
    <x v="1"/>
  </r>
  <r>
    <x v="40"/>
    <n v="3043"/>
    <n v="1005"/>
    <n v="2038"/>
    <n v="10"/>
    <n v="22"/>
    <x v="1"/>
    <x v="1"/>
    <s v="Webcam"/>
    <x v="0"/>
    <n v="340"/>
    <n v="520"/>
    <n v="3400"/>
    <n v="5200"/>
    <n v="1800"/>
    <n v="0.34615384615384615"/>
    <s v="High_order"/>
    <x v="2"/>
    <s v="Medium_profit"/>
    <x v="2"/>
  </r>
  <r>
    <x v="41"/>
    <n v="3044"/>
    <n v="1003"/>
    <n v="2042"/>
    <n v="8"/>
    <n v="18"/>
    <x v="0"/>
    <x v="1"/>
    <s v="Mouse"/>
    <x v="0"/>
    <n v="140"/>
    <n v="350"/>
    <n v="1120"/>
    <n v="2800"/>
    <n v="1680"/>
    <n v="0.6"/>
    <s v="High_order"/>
    <x v="2"/>
    <s v="High_profit"/>
    <x v="6"/>
  </r>
  <r>
    <x v="42"/>
    <n v="3045"/>
    <n v="1005"/>
    <n v="2038"/>
    <n v="3"/>
    <n v="22"/>
    <x v="1"/>
    <x v="1"/>
    <s v="Webcam"/>
    <x v="0"/>
    <n v="340"/>
    <n v="520"/>
    <n v="1020"/>
    <n v="1560"/>
    <n v="540"/>
    <n v="0.34615384615384615"/>
    <s v="Medium_order"/>
    <x v="2"/>
    <s v="Medium_profit"/>
    <x v="10"/>
  </r>
  <r>
    <x v="40"/>
    <n v="3046"/>
    <n v="1007"/>
    <n v="2020"/>
    <n v="3"/>
    <n v="27"/>
    <x v="1"/>
    <x v="3"/>
    <s v="Charger"/>
    <x v="2"/>
    <n v="160"/>
    <n v="230"/>
    <n v="480"/>
    <n v="690"/>
    <n v="210"/>
    <n v="0.30434782608695654"/>
    <s v="Low_order"/>
    <x v="2"/>
    <s v="Low_profit"/>
    <x v="2"/>
  </r>
  <r>
    <x v="2"/>
    <n v="3047"/>
    <n v="1004"/>
    <n v="2014"/>
    <n v="1"/>
    <n v="58"/>
    <x v="0"/>
    <x v="3"/>
    <s v="Speaker"/>
    <x v="0"/>
    <n v="230"/>
    <n v="440"/>
    <n v="230"/>
    <n v="440"/>
    <n v="210"/>
    <n v="0.47727272727272729"/>
    <s v="Low_order"/>
    <x v="0"/>
    <s v="High_profit"/>
    <x v="0"/>
  </r>
  <r>
    <x v="43"/>
    <n v="3048"/>
    <n v="1006"/>
    <n v="2036"/>
    <n v="7"/>
    <n v="30"/>
    <x v="1"/>
    <x v="0"/>
    <s v="Phone Case"/>
    <x v="2"/>
    <n v="320"/>
    <n v="430"/>
    <n v="2240"/>
    <n v="3010"/>
    <n v="770"/>
    <n v="0.2558139534883721"/>
    <s v="High_order"/>
    <x v="2"/>
    <s v="Low_profit"/>
    <x v="8"/>
  </r>
  <r>
    <x v="44"/>
    <n v="3049"/>
    <n v="1002"/>
    <n v="2049"/>
    <n v="6"/>
    <n v="44"/>
    <x v="0"/>
    <x v="0"/>
    <s v="Keyboard"/>
    <x v="0"/>
    <n v="230"/>
    <n v="400"/>
    <n v="1380"/>
    <n v="2400"/>
    <n v="1020"/>
    <n v="0.42499999999999999"/>
    <s v="Medium_order"/>
    <x v="0"/>
    <s v="High_profit"/>
    <x v="10"/>
  </r>
  <r>
    <x v="45"/>
    <n v="3050"/>
    <n v="1010"/>
    <n v="2020"/>
    <n v="3"/>
    <n v="27"/>
    <x v="1"/>
    <x v="3"/>
    <s v="Laptop Sleeve"/>
    <x v="2"/>
    <n v="290"/>
    <n v="470"/>
    <n v="870"/>
    <n v="1410"/>
    <n v="540"/>
    <n v="0.38297872340425532"/>
    <s v="Medium_order"/>
    <x v="2"/>
    <s v="Medium_profit"/>
    <x v="4"/>
  </r>
  <r>
    <x v="46"/>
    <n v="3051"/>
    <n v="1015"/>
    <n v="2006"/>
    <n v="1"/>
    <n v="32"/>
    <x v="1"/>
    <x v="2"/>
    <s v="Organizer"/>
    <x v="1"/>
    <n v="70"/>
    <n v="210"/>
    <n v="70"/>
    <n v="210"/>
    <n v="140"/>
    <n v="0.66666666666666663"/>
    <s v="Low_order"/>
    <x v="1"/>
    <s v="High_profit"/>
    <x v="9"/>
  </r>
  <r>
    <x v="21"/>
    <n v="3052"/>
    <n v="1018"/>
    <n v="2016"/>
    <n v="8"/>
    <n v="29"/>
    <x v="0"/>
    <x v="3"/>
    <s v="Resistance Band"/>
    <x v="3"/>
    <n v="310"/>
    <n v="480"/>
    <n v="2480"/>
    <n v="3840"/>
    <n v="1360"/>
    <n v="0.35416666666666669"/>
    <s v="High_order"/>
    <x v="2"/>
    <s v="Medium_profit"/>
    <x v="7"/>
  </r>
  <r>
    <x v="47"/>
    <n v="3053"/>
    <n v="1011"/>
    <n v="2019"/>
    <n v="5"/>
    <n v="57"/>
    <x v="1"/>
    <x v="3"/>
    <s v="Notebook"/>
    <x v="1"/>
    <n v="120"/>
    <n v="180"/>
    <n v="600"/>
    <n v="900"/>
    <n v="300"/>
    <n v="0.33333333333333331"/>
    <s v="Low_order"/>
    <x v="0"/>
    <s v="Medium_profit"/>
    <x v="7"/>
  </r>
  <r>
    <x v="13"/>
    <n v="3054"/>
    <n v="1017"/>
    <n v="2041"/>
    <n v="2"/>
    <n v="28"/>
    <x v="1"/>
    <x v="4"/>
    <s v="Dumbbells"/>
    <x v="3"/>
    <n v="120"/>
    <n v="200"/>
    <n v="240"/>
    <n v="400"/>
    <n v="160"/>
    <n v="0.4"/>
    <s v="Low_order"/>
    <x v="2"/>
    <s v="Medium_profit"/>
    <x v="5"/>
  </r>
  <r>
    <x v="48"/>
    <n v="3055"/>
    <n v="1001"/>
    <n v="2047"/>
    <n v="5"/>
    <n v="28"/>
    <x v="1"/>
    <x v="3"/>
    <s v="Headphones"/>
    <x v="0"/>
    <n v="380"/>
    <n v="550"/>
    <n v="1900"/>
    <n v="2750"/>
    <n v="850"/>
    <n v="0.30909090909090908"/>
    <s v="High_order"/>
    <x v="2"/>
    <s v="Low_profit"/>
    <x v="0"/>
  </r>
  <r>
    <x v="49"/>
    <n v="3056"/>
    <n v="1013"/>
    <n v="2006"/>
    <n v="4"/>
    <n v="32"/>
    <x v="1"/>
    <x v="2"/>
    <s v="Desk Lamp"/>
    <x v="1"/>
    <n v="140"/>
    <n v="390"/>
    <n v="560"/>
    <n v="1560"/>
    <n v="1000"/>
    <n v="0.64102564102564108"/>
    <s v="Medium_order"/>
    <x v="1"/>
    <s v="High_profit"/>
    <x v="1"/>
  </r>
  <r>
    <x v="50"/>
    <n v="3057"/>
    <n v="1020"/>
    <n v="2030"/>
    <n v="1"/>
    <n v="46"/>
    <x v="0"/>
    <x v="1"/>
    <s v="Water Bottle"/>
    <x v="3"/>
    <n v="400"/>
    <n v="560"/>
    <n v="400"/>
    <n v="560"/>
    <n v="160"/>
    <n v="0.2857142857142857"/>
    <s v="Low_order"/>
    <x v="0"/>
    <s v="Low_profit"/>
    <x v="4"/>
  </r>
  <r>
    <x v="51"/>
    <n v="3058"/>
    <n v="1007"/>
    <n v="2002"/>
    <n v="6"/>
    <n v="33"/>
    <x v="1"/>
    <x v="0"/>
    <s v="Charger"/>
    <x v="2"/>
    <n v="160"/>
    <n v="230"/>
    <n v="960"/>
    <n v="1380"/>
    <n v="420"/>
    <n v="0.30434782608695654"/>
    <s v="Medium_order"/>
    <x v="1"/>
    <s v="Low_profit"/>
    <x v="4"/>
  </r>
  <r>
    <x v="52"/>
    <n v="3059"/>
    <n v="1002"/>
    <n v="2049"/>
    <n v="4"/>
    <n v="44"/>
    <x v="0"/>
    <x v="0"/>
    <s v="Keyboard"/>
    <x v="0"/>
    <n v="230"/>
    <n v="400"/>
    <n v="920"/>
    <n v="1600"/>
    <n v="680"/>
    <n v="0.42499999999999999"/>
    <s v="Medium_order"/>
    <x v="0"/>
    <s v="High_profit"/>
    <x v="4"/>
  </r>
  <r>
    <x v="53"/>
    <n v="3060"/>
    <n v="1019"/>
    <n v="2034"/>
    <n v="10"/>
    <n v="48"/>
    <x v="0"/>
    <x v="4"/>
    <s v="Skipping Rope"/>
    <x v="3"/>
    <n v="140"/>
    <n v="270"/>
    <n v="1400"/>
    <n v="2700"/>
    <n v="1300"/>
    <n v="0.48148148148148145"/>
    <s v="High_order"/>
    <x v="0"/>
    <s v="High_profit"/>
    <x v="5"/>
  </r>
  <r>
    <x v="54"/>
    <n v="3061"/>
    <n v="1012"/>
    <n v="2004"/>
    <n v="3"/>
    <n v="25"/>
    <x v="1"/>
    <x v="4"/>
    <s v="Pen Set"/>
    <x v="1"/>
    <n v="380"/>
    <n v="510"/>
    <n v="1140"/>
    <n v="1530"/>
    <n v="390"/>
    <n v="0.25490196078431371"/>
    <s v="Medium_order"/>
    <x v="2"/>
    <s v="Low_profit"/>
    <x v="1"/>
  </r>
  <r>
    <x v="55"/>
    <n v="3062"/>
    <n v="1005"/>
    <n v="2036"/>
    <n v="7"/>
    <n v="30"/>
    <x v="1"/>
    <x v="0"/>
    <s v="Webcam"/>
    <x v="0"/>
    <n v="340"/>
    <n v="520"/>
    <n v="2380"/>
    <n v="3640"/>
    <n v="1260"/>
    <n v="0.34615384615384615"/>
    <s v="High_order"/>
    <x v="2"/>
    <s v="Medium_profit"/>
    <x v="9"/>
  </r>
  <r>
    <x v="56"/>
    <n v="3063"/>
    <n v="1002"/>
    <n v="2031"/>
    <n v="6"/>
    <n v="38"/>
    <x v="1"/>
    <x v="1"/>
    <s v="Keyboard"/>
    <x v="0"/>
    <n v="230"/>
    <n v="400"/>
    <n v="1380"/>
    <n v="2400"/>
    <n v="1020"/>
    <n v="0.42499999999999999"/>
    <s v="Medium_order"/>
    <x v="1"/>
    <s v="High_profit"/>
    <x v="10"/>
  </r>
  <r>
    <x v="57"/>
    <n v="3064"/>
    <n v="1003"/>
    <n v="2032"/>
    <n v="3"/>
    <n v="42"/>
    <x v="1"/>
    <x v="2"/>
    <s v="Mouse"/>
    <x v="0"/>
    <n v="140"/>
    <n v="350"/>
    <n v="420"/>
    <n v="1050"/>
    <n v="630"/>
    <n v="0.6"/>
    <s v="Low_order"/>
    <x v="0"/>
    <s v="High_profit"/>
    <x v="4"/>
  </r>
  <r>
    <x v="58"/>
    <n v="3065"/>
    <n v="1015"/>
    <n v="2023"/>
    <n v="3"/>
    <n v="41"/>
    <x v="1"/>
    <x v="0"/>
    <s v="Organizer"/>
    <x v="1"/>
    <n v="70"/>
    <n v="210"/>
    <n v="210"/>
    <n v="630"/>
    <n v="420"/>
    <n v="0.66666666666666663"/>
    <s v="Low_order"/>
    <x v="0"/>
    <s v="High_profit"/>
    <x v="5"/>
  </r>
  <r>
    <x v="59"/>
    <n v="3066"/>
    <n v="1006"/>
    <n v="2047"/>
    <n v="7"/>
    <n v="28"/>
    <x v="1"/>
    <x v="3"/>
    <s v="Phone Case"/>
    <x v="2"/>
    <n v="320"/>
    <n v="430"/>
    <n v="2240"/>
    <n v="3010"/>
    <n v="770"/>
    <n v="0.2558139534883721"/>
    <s v="High_order"/>
    <x v="2"/>
    <s v="Low_profit"/>
    <x v="1"/>
  </r>
  <r>
    <x v="60"/>
    <n v="3067"/>
    <n v="1007"/>
    <n v="2008"/>
    <n v="3"/>
    <n v="36"/>
    <x v="1"/>
    <x v="5"/>
    <s v="Charger"/>
    <x v="2"/>
    <n v="160"/>
    <n v="230"/>
    <n v="480"/>
    <n v="690"/>
    <n v="210"/>
    <n v="0.30434782608695654"/>
    <s v="Low_order"/>
    <x v="1"/>
    <s v="Low_profit"/>
    <x v="6"/>
  </r>
  <r>
    <x v="61"/>
    <n v="3068"/>
    <n v="1016"/>
    <n v="2022"/>
    <n v="7"/>
    <n v="19"/>
    <x v="1"/>
    <x v="4"/>
    <s v="Yoga Mat"/>
    <x v="3"/>
    <n v="330"/>
    <n v="490"/>
    <n v="2310"/>
    <n v="3430"/>
    <n v="1120"/>
    <n v="0.32653061224489793"/>
    <s v="High_order"/>
    <x v="2"/>
    <s v="Medium_profit"/>
    <x v="11"/>
  </r>
  <r>
    <x v="62"/>
    <n v="3069"/>
    <n v="1017"/>
    <n v="2020"/>
    <n v="4"/>
    <n v="27"/>
    <x v="1"/>
    <x v="3"/>
    <s v="Dumbbells"/>
    <x v="3"/>
    <n v="120"/>
    <n v="200"/>
    <n v="480"/>
    <n v="800"/>
    <n v="320"/>
    <n v="0.4"/>
    <s v="Low_order"/>
    <x v="2"/>
    <s v="Medium_profit"/>
    <x v="9"/>
  </r>
  <r>
    <x v="49"/>
    <n v="3070"/>
    <n v="1001"/>
    <n v="2007"/>
    <n v="5"/>
    <n v="34"/>
    <x v="1"/>
    <x v="1"/>
    <s v="Headphones"/>
    <x v="0"/>
    <n v="380"/>
    <n v="550"/>
    <n v="1900"/>
    <n v="2750"/>
    <n v="850"/>
    <n v="0.30909090909090908"/>
    <s v="High_order"/>
    <x v="1"/>
    <s v="Low_profit"/>
    <x v="1"/>
  </r>
  <r>
    <x v="63"/>
    <n v="3071"/>
    <n v="1006"/>
    <n v="2001"/>
    <n v="7"/>
    <n v="44"/>
    <x v="1"/>
    <x v="0"/>
    <s v="Phone Case"/>
    <x v="2"/>
    <n v="320"/>
    <n v="430"/>
    <n v="2240"/>
    <n v="3010"/>
    <n v="770"/>
    <n v="0.2558139534883721"/>
    <s v="High_order"/>
    <x v="0"/>
    <s v="Low_profit"/>
    <x v="11"/>
  </r>
  <r>
    <x v="64"/>
    <n v="3072"/>
    <n v="1012"/>
    <n v="2027"/>
    <n v="3"/>
    <n v="27"/>
    <x v="0"/>
    <x v="3"/>
    <s v="Pen Set"/>
    <x v="1"/>
    <n v="380"/>
    <n v="510"/>
    <n v="1140"/>
    <n v="1530"/>
    <n v="390"/>
    <n v="0.25490196078431371"/>
    <s v="Medium_order"/>
    <x v="2"/>
    <s v="Low_profit"/>
    <x v="3"/>
  </r>
  <r>
    <x v="8"/>
    <n v="3073"/>
    <n v="1004"/>
    <n v="2028"/>
    <n v="3"/>
    <n v="43"/>
    <x v="1"/>
    <x v="5"/>
    <s v="Speaker"/>
    <x v="0"/>
    <n v="230"/>
    <n v="440"/>
    <n v="690"/>
    <n v="1320"/>
    <n v="630"/>
    <n v="0.47727272727272729"/>
    <s v="Medium_order"/>
    <x v="0"/>
    <s v="High_profit"/>
    <x v="5"/>
  </r>
  <r>
    <x v="65"/>
    <n v="3074"/>
    <n v="1008"/>
    <n v="2035"/>
    <n v="5"/>
    <n v="37"/>
    <x v="0"/>
    <x v="0"/>
    <s v="USB Cable"/>
    <x v="2"/>
    <n v="340"/>
    <n v="430"/>
    <n v="1700"/>
    <n v="2150"/>
    <n v="450"/>
    <n v="0.20930232558139536"/>
    <s v="Medium_order"/>
    <x v="1"/>
    <s v="Low_profit"/>
    <x v="9"/>
  </r>
  <r>
    <x v="66"/>
    <n v="3075"/>
    <n v="1004"/>
    <n v="2014"/>
    <n v="1"/>
    <n v="58"/>
    <x v="0"/>
    <x v="3"/>
    <s v="Speaker"/>
    <x v="0"/>
    <n v="230"/>
    <n v="440"/>
    <n v="230"/>
    <n v="440"/>
    <n v="210"/>
    <n v="0.47727272727272729"/>
    <s v="Low_order"/>
    <x v="0"/>
    <s v="High_profit"/>
    <x v="11"/>
  </r>
  <r>
    <x v="67"/>
    <n v="3076"/>
    <n v="1013"/>
    <n v="2022"/>
    <n v="5"/>
    <n v="19"/>
    <x v="1"/>
    <x v="4"/>
    <s v="Desk Lamp"/>
    <x v="1"/>
    <n v="140"/>
    <n v="390"/>
    <n v="700"/>
    <n v="1950"/>
    <n v="1250"/>
    <n v="0.64102564102564108"/>
    <s v="Medium_order"/>
    <x v="2"/>
    <s v="High_profit"/>
    <x v="9"/>
  </r>
  <r>
    <x v="68"/>
    <n v="3077"/>
    <n v="1019"/>
    <n v="2008"/>
    <n v="4"/>
    <n v="36"/>
    <x v="1"/>
    <x v="5"/>
    <s v="Skipping Rope"/>
    <x v="3"/>
    <n v="140"/>
    <n v="270"/>
    <n v="560"/>
    <n v="1080"/>
    <n v="520"/>
    <n v="0.48148148148148145"/>
    <s v="Low_order"/>
    <x v="1"/>
    <s v="High_profit"/>
    <x v="0"/>
  </r>
  <r>
    <x v="69"/>
    <n v="3078"/>
    <n v="1005"/>
    <n v="2046"/>
    <n v="2"/>
    <n v="52"/>
    <x v="1"/>
    <x v="4"/>
    <s v="Webcam"/>
    <x v="0"/>
    <n v="340"/>
    <n v="520"/>
    <n v="680"/>
    <n v="1040"/>
    <n v="360"/>
    <n v="0.34615384615384615"/>
    <s v="Low_order"/>
    <x v="0"/>
    <s v="Medium_profit"/>
    <x v="11"/>
  </r>
  <r>
    <x v="32"/>
    <n v="3079"/>
    <n v="1020"/>
    <n v="2015"/>
    <n v="5"/>
    <n v="40"/>
    <x v="1"/>
    <x v="0"/>
    <s v="Water Bottle"/>
    <x v="3"/>
    <n v="400"/>
    <n v="560"/>
    <n v="2000"/>
    <n v="2800"/>
    <n v="800"/>
    <n v="0.2857142857142857"/>
    <s v="High_order"/>
    <x v="1"/>
    <s v="Low_profit"/>
    <x v="9"/>
  </r>
  <r>
    <x v="70"/>
    <n v="3080"/>
    <n v="1013"/>
    <n v="2040"/>
    <n v="3"/>
    <n v="40"/>
    <x v="1"/>
    <x v="2"/>
    <s v="Desk Lamp"/>
    <x v="1"/>
    <n v="140"/>
    <n v="390"/>
    <n v="420"/>
    <n v="1170"/>
    <n v="750"/>
    <n v="0.64102564102564108"/>
    <s v="Low_order"/>
    <x v="1"/>
    <s v="High_profit"/>
    <x v="8"/>
  </r>
  <r>
    <x v="43"/>
    <n v="3081"/>
    <n v="1011"/>
    <n v="2022"/>
    <n v="3"/>
    <n v="19"/>
    <x v="1"/>
    <x v="4"/>
    <s v="Notebook"/>
    <x v="1"/>
    <n v="120"/>
    <n v="180"/>
    <n v="360"/>
    <n v="540"/>
    <n v="180"/>
    <n v="0.33333333333333331"/>
    <s v="Low_order"/>
    <x v="2"/>
    <s v="Medium_profit"/>
    <x v="8"/>
  </r>
  <r>
    <x v="71"/>
    <n v="3082"/>
    <n v="1017"/>
    <n v="2042"/>
    <n v="6"/>
    <n v="18"/>
    <x v="0"/>
    <x v="1"/>
    <s v="Dumbbells"/>
    <x v="3"/>
    <n v="120"/>
    <n v="200"/>
    <n v="720"/>
    <n v="1200"/>
    <n v="480"/>
    <n v="0.4"/>
    <s v="Low_order"/>
    <x v="2"/>
    <s v="Medium_profit"/>
    <x v="8"/>
  </r>
  <r>
    <x v="72"/>
    <n v="3083"/>
    <n v="1020"/>
    <n v="2011"/>
    <n v="9"/>
    <n v="33"/>
    <x v="0"/>
    <x v="3"/>
    <s v="Water Bottle"/>
    <x v="3"/>
    <n v="400"/>
    <n v="560"/>
    <n v="3600"/>
    <n v="5040"/>
    <n v="1440"/>
    <n v="0.2857142857142857"/>
    <s v="High_order"/>
    <x v="1"/>
    <s v="Low_profit"/>
    <x v="0"/>
  </r>
  <r>
    <x v="73"/>
    <n v="3084"/>
    <n v="1012"/>
    <n v="2028"/>
    <n v="2"/>
    <n v="43"/>
    <x v="1"/>
    <x v="5"/>
    <s v="Pen Set"/>
    <x v="1"/>
    <n v="380"/>
    <n v="510"/>
    <n v="760"/>
    <n v="1020"/>
    <n v="260"/>
    <n v="0.25490196078431371"/>
    <s v="Low_order"/>
    <x v="0"/>
    <s v="Low_profit"/>
    <x v="7"/>
  </r>
  <r>
    <x v="74"/>
    <n v="3085"/>
    <n v="1015"/>
    <n v="2031"/>
    <n v="6"/>
    <n v="38"/>
    <x v="1"/>
    <x v="1"/>
    <s v="Organizer"/>
    <x v="1"/>
    <n v="70"/>
    <n v="210"/>
    <n v="420"/>
    <n v="1260"/>
    <n v="840"/>
    <n v="0.66666666666666663"/>
    <s v="Low_order"/>
    <x v="1"/>
    <s v="High_profit"/>
    <x v="9"/>
  </r>
  <r>
    <x v="75"/>
    <n v="3086"/>
    <n v="1001"/>
    <n v="2038"/>
    <n v="2"/>
    <n v="22"/>
    <x v="1"/>
    <x v="1"/>
    <s v="Headphones"/>
    <x v="0"/>
    <n v="380"/>
    <n v="550"/>
    <n v="760"/>
    <n v="1100"/>
    <n v="340"/>
    <n v="0.30909090909090908"/>
    <s v="Low_order"/>
    <x v="2"/>
    <s v="Low_profit"/>
    <x v="0"/>
  </r>
  <r>
    <x v="76"/>
    <n v="3087"/>
    <n v="1010"/>
    <n v="2047"/>
    <n v="9"/>
    <n v="28"/>
    <x v="1"/>
    <x v="3"/>
    <s v="Laptop Sleeve"/>
    <x v="2"/>
    <n v="290"/>
    <n v="470"/>
    <n v="2610"/>
    <n v="4230"/>
    <n v="1620"/>
    <n v="0.38297872340425532"/>
    <s v="High_order"/>
    <x v="2"/>
    <s v="Medium_profit"/>
    <x v="2"/>
  </r>
  <r>
    <x v="77"/>
    <n v="3088"/>
    <n v="1005"/>
    <n v="2015"/>
    <n v="8"/>
    <n v="40"/>
    <x v="1"/>
    <x v="0"/>
    <s v="Webcam"/>
    <x v="0"/>
    <n v="340"/>
    <n v="520"/>
    <n v="2720"/>
    <n v="4160"/>
    <n v="1440"/>
    <n v="0.34615384615384615"/>
    <s v="High_order"/>
    <x v="1"/>
    <s v="Medium_profit"/>
    <x v="9"/>
  </r>
  <r>
    <x v="78"/>
    <n v="3089"/>
    <n v="1017"/>
    <n v="2049"/>
    <n v="8"/>
    <n v="44"/>
    <x v="0"/>
    <x v="0"/>
    <s v="Dumbbells"/>
    <x v="3"/>
    <n v="120"/>
    <n v="200"/>
    <n v="960"/>
    <n v="1600"/>
    <n v="640"/>
    <n v="0.4"/>
    <s v="Medium_order"/>
    <x v="0"/>
    <s v="Medium_profit"/>
    <x v="3"/>
  </r>
  <r>
    <x v="79"/>
    <n v="3090"/>
    <n v="1010"/>
    <n v="2027"/>
    <n v="4"/>
    <n v="27"/>
    <x v="0"/>
    <x v="3"/>
    <s v="Laptop Sleeve"/>
    <x v="2"/>
    <n v="290"/>
    <n v="470"/>
    <n v="1160"/>
    <n v="1880"/>
    <n v="720"/>
    <n v="0.38297872340425532"/>
    <s v="Medium_order"/>
    <x v="2"/>
    <s v="Medium_profit"/>
    <x v="3"/>
  </r>
  <r>
    <x v="80"/>
    <n v="3091"/>
    <n v="1018"/>
    <n v="2002"/>
    <n v="9"/>
    <n v="33"/>
    <x v="1"/>
    <x v="0"/>
    <s v="Resistance Band"/>
    <x v="3"/>
    <n v="310"/>
    <n v="480"/>
    <n v="2790"/>
    <n v="4320"/>
    <n v="1530"/>
    <n v="0.35416666666666669"/>
    <s v="High_order"/>
    <x v="1"/>
    <s v="Medium_profit"/>
    <x v="7"/>
  </r>
  <r>
    <x v="81"/>
    <n v="3092"/>
    <n v="1014"/>
    <n v="2009"/>
    <n v="1"/>
    <n v="57"/>
    <x v="0"/>
    <x v="4"/>
    <s v="Stapler"/>
    <x v="1"/>
    <n v="170"/>
    <n v="280"/>
    <n v="170"/>
    <n v="280"/>
    <n v="110"/>
    <n v="0.39285714285714285"/>
    <s v="Low_order"/>
    <x v="0"/>
    <s v="Medium_profit"/>
    <x v="2"/>
  </r>
  <r>
    <x v="9"/>
    <n v="3093"/>
    <n v="1007"/>
    <n v="2014"/>
    <n v="5"/>
    <n v="58"/>
    <x v="0"/>
    <x v="3"/>
    <s v="Charger"/>
    <x v="2"/>
    <n v="160"/>
    <n v="230"/>
    <n v="800"/>
    <n v="1150"/>
    <n v="350"/>
    <n v="0.30434782608695654"/>
    <s v="Low_order"/>
    <x v="0"/>
    <s v="Low_profit"/>
    <x v="2"/>
  </r>
  <r>
    <x v="19"/>
    <n v="3094"/>
    <n v="1019"/>
    <n v="2006"/>
    <n v="4"/>
    <n v="32"/>
    <x v="1"/>
    <x v="2"/>
    <s v="Skipping Rope"/>
    <x v="3"/>
    <n v="140"/>
    <n v="270"/>
    <n v="560"/>
    <n v="1080"/>
    <n v="520"/>
    <n v="0.48148148148148145"/>
    <s v="Low_order"/>
    <x v="1"/>
    <s v="High_profit"/>
    <x v="1"/>
  </r>
  <r>
    <x v="2"/>
    <n v="3095"/>
    <n v="1016"/>
    <n v="2050"/>
    <n v="8"/>
    <n v="54"/>
    <x v="0"/>
    <x v="0"/>
    <s v="Yoga Mat"/>
    <x v="3"/>
    <n v="330"/>
    <n v="490"/>
    <n v="2640"/>
    <n v="3920"/>
    <n v="1280"/>
    <n v="0.32653061224489793"/>
    <s v="High_order"/>
    <x v="0"/>
    <s v="Medium_profit"/>
    <x v="0"/>
  </r>
  <r>
    <x v="82"/>
    <n v="3096"/>
    <n v="1008"/>
    <n v="2050"/>
    <n v="10"/>
    <n v="54"/>
    <x v="0"/>
    <x v="0"/>
    <s v="USB Cable"/>
    <x v="2"/>
    <n v="340"/>
    <n v="430"/>
    <n v="3400"/>
    <n v="4300"/>
    <n v="900"/>
    <n v="0.20930232558139536"/>
    <s v="High_order"/>
    <x v="0"/>
    <s v="Low_profit"/>
    <x v="1"/>
  </r>
  <r>
    <x v="51"/>
    <n v="3097"/>
    <n v="1013"/>
    <n v="2048"/>
    <n v="7"/>
    <n v="41"/>
    <x v="0"/>
    <x v="5"/>
    <s v="Desk Lamp"/>
    <x v="1"/>
    <n v="140"/>
    <n v="390"/>
    <n v="980"/>
    <n v="2730"/>
    <n v="1750"/>
    <n v="0.64102564102564108"/>
    <s v="High_order"/>
    <x v="0"/>
    <s v="High_profit"/>
    <x v="4"/>
  </r>
  <r>
    <x v="9"/>
    <n v="3098"/>
    <n v="1003"/>
    <n v="2008"/>
    <n v="1"/>
    <n v="36"/>
    <x v="1"/>
    <x v="5"/>
    <s v="Mouse"/>
    <x v="0"/>
    <n v="140"/>
    <n v="350"/>
    <n v="140"/>
    <n v="350"/>
    <n v="210"/>
    <n v="0.6"/>
    <s v="Low_order"/>
    <x v="1"/>
    <s v="High_profit"/>
    <x v="2"/>
  </r>
  <r>
    <x v="83"/>
    <n v="3099"/>
    <n v="1001"/>
    <n v="2008"/>
    <n v="1"/>
    <n v="36"/>
    <x v="1"/>
    <x v="5"/>
    <s v="Headphones"/>
    <x v="0"/>
    <n v="380"/>
    <n v="550"/>
    <n v="380"/>
    <n v="550"/>
    <n v="170"/>
    <n v="0.30909090909090908"/>
    <s v="Low_order"/>
    <x v="1"/>
    <s v="Low_profit"/>
    <x v="0"/>
  </r>
  <r>
    <x v="84"/>
    <n v="3100"/>
    <n v="1009"/>
    <n v="2043"/>
    <n v="3"/>
    <n v="44"/>
    <x v="1"/>
    <x v="0"/>
    <s v="Power Bank"/>
    <x v="2"/>
    <n v="50"/>
    <n v="220"/>
    <n v="150"/>
    <n v="660"/>
    <n v="510"/>
    <n v="0.77272727272727271"/>
    <s v="Low_order"/>
    <x v="0"/>
    <s v="High_profit"/>
    <x v="8"/>
  </r>
  <r>
    <x v="85"/>
    <n v="3101"/>
    <n v="1010"/>
    <n v="2029"/>
    <n v="7"/>
    <n v="53"/>
    <x v="1"/>
    <x v="0"/>
    <s v="Laptop Sleeve"/>
    <x v="2"/>
    <n v="290"/>
    <n v="470"/>
    <n v="2030"/>
    <n v="3290"/>
    <n v="1260"/>
    <n v="0.38297872340425532"/>
    <s v="High_order"/>
    <x v="0"/>
    <s v="Medium_profit"/>
    <x v="6"/>
  </r>
  <r>
    <x v="86"/>
    <n v="3102"/>
    <n v="1016"/>
    <n v="2036"/>
    <n v="6"/>
    <n v="30"/>
    <x v="1"/>
    <x v="0"/>
    <s v="Yoga Mat"/>
    <x v="3"/>
    <n v="330"/>
    <n v="490"/>
    <n v="1980"/>
    <n v="2940"/>
    <n v="960"/>
    <n v="0.32653061224489793"/>
    <s v="High_order"/>
    <x v="2"/>
    <s v="Medium_profit"/>
    <x v="1"/>
  </r>
  <r>
    <x v="87"/>
    <n v="3103"/>
    <n v="1010"/>
    <n v="2031"/>
    <n v="2"/>
    <n v="38"/>
    <x v="1"/>
    <x v="1"/>
    <s v="Laptop Sleeve"/>
    <x v="2"/>
    <n v="290"/>
    <n v="470"/>
    <n v="580"/>
    <n v="940"/>
    <n v="360"/>
    <n v="0.38297872340425532"/>
    <s v="Low_order"/>
    <x v="1"/>
    <s v="Medium_profit"/>
    <x v="11"/>
  </r>
  <r>
    <x v="88"/>
    <n v="3104"/>
    <n v="1001"/>
    <n v="2046"/>
    <n v="10"/>
    <n v="52"/>
    <x v="1"/>
    <x v="4"/>
    <s v="Headphones"/>
    <x v="0"/>
    <n v="380"/>
    <n v="550"/>
    <n v="3800"/>
    <n v="5500"/>
    <n v="1700"/>
    <n v="0.30909090909090908"/>
    <s v="High_order"/>
    <x v="0"/>
    <s v="Low_profit"/>
    <x v="4"/>
  </r>
  <r>
    <x v="89"/>
    <n v="3105"/>
    <n v="1004"/>
    <n v="2006"/>
    <n v="7"/>
    <n v="32"/>
    <x v="1"/>
    <x v="2"/>
    <s v="Speaker"/>
    <x v="0"/>
    <n v="230"/>
    <n v="440"/>
    <n v="1610"/>
    <n v="3080"/>
    <n v="1470"/>
    <n v="0.47727272727272729"/>
    <s v="High_order"/>
    <x v="1"/>
    <s v="High_profit"/>
    <x v="9"/>
  </r>
  <r>
    <x v="78"/>
    <n v="3106"/>
    <n v="1012"/>
    <n v="2043"/>
    <n v="7"/>
    <n v="44"/>
    <x v="1"/>
    <x v="0"/>
    <s v="Pen Set"/>
    <x v="1"/>
    <n v="380"/>
    <n v="510"/>
    <n v="2660"/>
    <n v="3570"/>
    <n v="910"/>
    <n v="0.25490196078431371"/>
    <s v="High_order"/>
    <x v="0"/>
    <s v="Low_profit"/>
    <x v="3"/>
  </r>
  <r>
    <x v="28"/>
    <n v="3107"/>
    <n v="1017"/>
    <n v="2040"/>
    <n v="10"/>
    <n v="40"/>
    <x v="1"/>
    <x v="2"/>
    <s v="Dumbbells"/>
    <x v="3"/>
    <n v="120"/>
    <n v="200"/>
    <n v="1200"/>
    <n v="2000"/>
    <n v="800"/>
    <n v="0.4"/>
    <s v="Medium_order"/>
    <x v="1"/>
    <s v="Medium_profit"/>
    <x v="7"/>
  </r>
  <r>
    <x v="70"/>
    <n v="3108"/>
    <n v="1018"/>
    <n v="2044"/>
    <n v="2"/>
    <n v="44"/>
    <x v="0"/>
    <x v="5"/>
    <s v="Resistance Band"/>
    <x v="3"/>
    <n v="310"/>
    <n v="480"/>
    <n v="620"/>
    <n v="960"/>
    <n v="340"/>
    <n v="0.35416666666666669"/>
    <s v="Low_order"/>
    <x v="0"/>
    <s v="Medium_profit"/>
    <x v="8"/>
  </r>
  <r>
    <x v="86"/>
    <n v="3109"/>
    <n v="1010"/>
    <n v="2048"/>
    <n v="2"/>
    <n v="41"/>
    <x v="0"/>
    <x v="5"/>
    <s v="Laptop Sleeve"/>
    <x v="2"/>
    <n v="290"/>
    <n v="470"/>
    <n v="580"/>
    <n v="940"/>
    <n v="360"/>
    <n v="0.38297872340425532"/>
    <s v="Low_order"/>
    <x v="0"/>
    <s v="Medium_profit"/>
    <x v="1"/>
  </r>
  <r>
    <x v="90"/>
    <n v="3110"/>
    <n v="1007"/>
    <n v="2028"/>
    <n v="10"/>
    <n v="43"/>
    <x v="1"/>
    <x v="5"/>
    <s v="Charger"/>
    <x v="2"/>
    <n v="160"/>
    <n v="230"/>
    <n v="1600"/>
    <n v="2300"/>
    <n v="700"/>
    <n v="0.30434782608695654"/>
    <s v="Medium_order"/>
    <x v="0"/>
    <s v="Low_profit"/>
    <x v="1"/>
  </r>
  <r>
    <x v="48"/>
    <n v="3111"/>
    <n v="1014"/>
    <n v="2021"/>
    <n v="6"/>
    <n v="28"/>
    <x v="1"/>
    <x v="0"/>
    <s v="Stapler"/>
    <x v="1"/>
    <n v="170"/>
    <n v="280"/>
    <n v="1020"/>
    <n v="1680"/>
    <n v="660"/>
    <n v="0.39285714285714285"/>
    <s v="Medium_order"/>
    <x v="2"/>
    <s v="Medium_profit"/>
    <x v="0"/>
  </r>
  <r>
    <x v="91"/>
    <n v="3112"/>
    <n v="1015"/>
    <n v="2033"/>
    <n v="6"/>
    <n v="43"/>
    <x v="0"/>
    <x v="2"/>
    <s v="Organizer"/>
    <x v="1"/>
    <n v="70"/>
    <n v="210"/>
    <n v="420"/>
    <n v="1260"/>
    <n v="840"/>
    <n v="0.66666666666666663"/>
    <s v="Low_order"/>
    <x v="0"/>
    <s v="High_profit"/>
    <x v="11"/>
  </r>
  <r>
    <x v="76"/>
    <n v="3113"/>
    <n v="1002"/>
    <n v="2014"/>
    <n v="3"/>
    <n v="58"/>
    <x v="0"/>
    <x v="3"/>
    <s v="Keyboard"/>
    <x v="0"/>
    <n v="230"/>
    <n v="400"/>
    <n v="690"/>
    <n v="1200"/>
    <n v="510"/>
    <n v="0.42499999999999999"/>
    <s v="Low_order"/>
    <x v="0"/>
    <s v="High_profit"/>
    <x v="2"/>
  </r>
  <r>
    <x v="92"/>
    <n v="3114"/>
    <n v="1007"/>
    <n v="2031"/>
    <n v="2"/>
    <n v="38"/>
    <x v="1"/>
    <x v="1"/>
    <s v="Charger"/>
    <x v="2"/>
    <n v="160"/>
    <n v="230"/>
    <n v="320"/>
    <n v="460"/>
    <n v="140"/>
    <n v="0.30434782608695654"/>
    <s v="Low_order"/>
    <x v="1"/>
    <s v="Low_profit"/>
    <x v="6"/>
  </r>
  <r>
    <x v="93"/>
    <n v="3115"/>
    <n v="1007"/>
    <n v="2034"/>
    <n v="9"/>
    <n v="48"/>
    <x v="0"/>
    <x v="4"/>
    <s v="Charger"/>
    <x v="2"/>
    <n v="160"/>
    <n v="230"/>
    <n v="1440"/>
    <n v="2070"/>
    <n v="630"/>
    <n v="0.30434782608695654"/>
    <s v="Medium_order"/>
    <x v="0"/>
    <s v="Low_profit"/>
    <x v="6"/>
  </r>
  <r>
    <x v="94"/>
    <n v="3116"/>
    <n v="1012"/>
    <n v="2043"/>
    <n v="8"/>
    <n v="44"/>
    <x v="1"/>
    <x v="0"/>
    <s v="Pen Set"/>
    <x v="1"/>
    <n v="380"/>
    <n v="510"/>
    <n v="3040"/>
    <n v="4080"/>
    <n v="1040"/>
    <n v="0.25490196078431371"/>
    <s v="High_order"/>
    <x v="0"/>
    <s v="Low_profit"/>
    <x v="0"/>
  </r>
  <r>
    <x v="95"/>
    <n v="3117"/>
    <n v="1010"/>
    <n v="2046"/>
    <n v="4"/>
    <n v="52"/>
    <x v="1"/>
    <x v="4"/>
    <s v="Laptop Sleeve"/>
    <x v="2"/>
    <n v="290"/>
    <n v="470"/>
    <n v="1160"/>
    <n v="1880"/>
    <n v="720"/>
    <n v="0.38297872340425532"/>
    <s v="Medium_order"/>
    <x v="0"/>
    <s v="Medium_profit"/>
    <x v="11"/>
  </r>
  <r>
    <x v="96"/>
    <n v="3118"/>
    <n v="1003"/>
    <n v="2024"/>
    <n v="6"/>
    <n v="26"/>
    <x v="0"/>
    <x v="0"/>
    <s v="Mouse"/>
    <x v="0"/>
    <n v="140"/>
    <n v="350"/>
    <n v="840"/>
    <n v="2100"/>
    <n v="1260"/>
    <n v="0.6"/>
    <s v="Medium_order"/>
    <x v="2"/>
    <s v="High_profit"/>
    <x v="6"/>
  </r>
  <r>
    <x v="97"/>
    <n v="3119"/>
    <n v="1011"/>
    <n v="2007"/>
    <n v="9"/>
    <n v="34"/>
    <x v="1"/>
    <x v="1"/>
    <s v="Notebook"/>
    <x v="1"/>
    <n v="120"/>
    <n v="180"/>
    <n v="1080"/>
    <n v="1620"/>
    <n v="540"/>
    <n v="0.33333333333333331"/>
    <s v="Medium_order"/>
    <x v="1"/>
    <s v="Medium_profit"/>
    <x v="3"/>
  </r>
  <r>
    <x v="98"/>
    <n v="3120"/>
    <n v="1005"/>
    <n v="2017"/>
    <n v="4"/>
    <n v="32"/>
    <x v="1"/>
    <x v="0"/>
    <s v="Webcam"/>
    <x v="0"/>
    <n v="340"/>
    <n v="520"/>
    <n v="1360"/>
    <n v="2080"/>
    <n v="720"/>
    <n v="0.34615384615384615"/>
    <s v="Medium_order"/>
    <x v="1"/>
    <s v="Medium_profit"/>
    <x v="3"/>
  </r>
  <r>
    <x v="30"/>
    <n v="3121"/>
    <n v="1003"/>
    <n v="2017"/>
    <n v="1"/>
    <n v="32"/>
    <x v="1"/>
    <x v="0"/>
    <s v="Mouse"/>
    <x v="0"/>
    <n v="140"/>
    <n v="350"/>
    <n v="140"/>
    <n v="350"/>
    <n v="210"/>
    <n v="0.6"/>
    <s v="Low_order"/>
    <x v="1"/>
    <s v="High_profit"/>
    <x v="5"/>
  </r>
  <r>
    <x v="38"/>
    <n v="3122"/>
    <n v="1011"/>
    <n v="2002"/>
    <n v="9"/>
    <n v="33"/>
    <x v="1"/>
    <x v="0"/>
    <s v="Notebook"/>
    <x v="1"/>
    <n v="120"/>
    <n v="180"/>
    <n v="1080"/>
    <n v="1620"/>
    <n v="540"/>
    <n v="0.33333333333333331"/>
    <s v="Medium_order"/>
    <x v="1"/>
    <s v="Medium_profit"/>
    <x v="0"/>
  </r>
  <r>
    <x v="99"/>
    <n v="3123"/>
    <n v="1016"/>
    <n v="2027"/>
    <n v="7"/>
    <n v="27"/>
    <x v="0"/>
    <x v="3"/>
    <s v="Yoga Mat"/>
    <x v="3"/>
    <n v="330"/>
    <n v="490"/>
    <n v="2310"/>
    <n v="3430"/>
    <n v="1120"/>
    <n v="0.32653061224489793"/>
    <s v="High_order"/>
    <x v="2"/>
    <s v="Medium_profit"/>
    <x v="10"/>
  </r>
  <r>
    <x v="100"/>
    <n v="3124"/>
    <n v="1010"/>
    <n v="2038"/>
    <n v="8"/>
    <n v="22"/>
    <x v="1"/>
    <x v="1"/>
    <s v="Laptop Sleeve"/>
    <x v="2"/>
    <n v="290"/>
    <n v="470"/>
    <n v="2320"/>
    <n v="3760"/>
    <n v="1440"/>
    <n v="0.38297872340425532"/>
    <s v="High_order"/>
    <x v="2"/>
    <s v="Medium_profit"/>
    <x v="10"/>
  </r>
  <r>
    <x v="101"/>
    <n v="3125"/>
    <n v="1001"/>
    <n v="2049"/>
    <n v="6"/>
    <n v="44"/>
    <x v="0"/>
    <x v="0"/>
    <s v="Headphones"/>
    <x v="0"/>
    <n v="380"/>
    <n v="550"/>
    <n v="2280"/>
    <n v="3300"/>
    <n v="1020"/>
    <n v="0.30909090909090908"/>
    <s v="High_order"/>
    <x v="0"/>
    <s v="Low_profit"/>
    <x v="5"/>
  </r>
  <r>
    <x v="102"/>
    <n v="3126"/>
    <n v="1020"/>
    <n v="2003"/>
    <n v="6"/>
    <n v="23"/>
    <x v="0"/>
    <x v="1"/>
    <s v="Water Bottle"/>
    <x v="3"/>
    <n v="400"/>
    <n v="560"/>
    <n v="2400"/>
    <n v="3360"/>
    <n v="960"/>
    <n v="0.2857142857142857"/>
    <s v="High_order"/>
    <x v="2"/>
    <s v="Low_profit"/>
    <x v="2"/>
  </r>
  <r>
    <x v="103"/>
    <n v="3127"/>
    <n v="1002"/>
    <n v="2022"/>
    <n v="8"/>
    <n v="19"/>
    <x v="1"/>
    <x v="4"/>
    <s v="Keyboard"/>
    <x v="0"/>
    <n v="230"/>
    <n v="400"/>
    <n v="1840"/>
    <n v="3200"/>
    <n v="1360"/>
    <n v="0.42499999999999999"/>
    <s v="High_order"/>
    <x v="2"/>
    <s v="High_profit"/>
    <x v="3"/>
  </r>
  <r>
    <x v="104"/>
    <n v="3128"/>
    <n v="1020"/>
    <n v="2014"/>
    <n v="10"/>
    <n v="58"/>
    <x v="0"/>
    <x v="3"/>
    <s v="Water Bottle"/>
    <x v="3"/>
    <n v="400"/>
    <n v="560"/>
    <n v="4000"/>
    <n v="5600"/>
    <n v="1600"/>
    <n v="0.2857142857142857"/>
    <s v="High_order"/>
    <x v="0"/>
    <s v="Low_profit"/>
    <x v="5"/>
  </r>
  <r>
    <x v="105"/>
    <n v="3129"/>
    <n v="1009"/>
    <n v="2042"/>
    <n v="2"/>
    <n v="18"/>
    <x v="0"/>
    <x v="1"/>
    <s v="Power Bank"/>
    <x v="2"/>
    <n v="50"/>
    <n v="220"/>
    <n v="100"/>
    <n v="440"/>
    <n v="340"/>
    <n v="0.77272727272727271"/>
    <s v="Low_order"/>
    <x v="2"/>
    <s v="High_profit"/>
    <x v="5"/>
  </r>
  <r>
    <x v="106"/>
    <n v="3130"/>
    <n v="1006"/>
    <n v="2049"/>
    <n v="6"/>
    <n v="44"/>
    <x v="0"/>
    <x v="0"/>
    <s v="Phone Case"/>
    <x v="2"/>
    <n v="320"/>
    <n v="430"/>
    <n v="1920"/>
    <n v="2580"/>
    <n v="660"/>
    <n v="0.2558139534883721"/>
    <s v="High_order"/>
    <x v="0"/>
    <s v="Low_profit"/>
    <x v="10"/>
  </r>
  <r>
    <x v="107"/>
    <n v="3131"/>
    <n v="1009"/>
    <n v="2017"/>
    <n v="2"/>
    <n v="32"/>
    <x v="1"/>
    <x v="0"/>
    <s v="Power Bank"/>
    <x v="2"/>
    <n v="50"/>
    <n v="220"/>
    <n v="100"/>
    <n v="440"/>
    <n v="340"/>
    <n v="0.77272727272727271"/>
    <s v="Low_order"/>
    <x v="1"/>
    <s v="High_profit"/>
    <x v="3"/>
  </r>
  <r>
    <x v="50"/>
    <n v="3132"/>
    <n v="1014"/>
    <n v="2013"/>
    <n v="6"/>
    <n v="37"/>
    <x v="1"/>
    <x v="2"/>
    <s v="Stapler"/>
    <x v="1"/>
    <n v="170"/>
    <n v="280"/>
    <n v="1020"/>
    <n v="1680"/>
    <n v="660"/>
    <n v="0.39285714285714285"/>
    <s v="Medium_order"/>
    <x v="1"/>
    <s v="Medium_profit"/>
    <x v="4"/>
  </r>
  <r>
    <x v="108"/>
    <n v="3133"/>
    <n v="1012"/>
    <n v="2049"/>
    <n v="2"/>
    <n v="44"/>
    <x v="0"/>
    <x v="0"/>
    <s v="Pen Set"/>
    <x v="1"/>
    <n v="380"/>
    <n v="510"/>
    <n v="760"/>
    <n v="1020"/>
    <n v="260"/>
    <n v="0.25490196078431371"/>
    <s v="Low_order"/>
    <x v="0"/>
    <s v="Low_profit"/>
    <x v="9"/>
  </r>
  <r>
    <x v="109"/>
    <n v="3134"/>
    <n v="1017"/>
    <n v="2050"/>
    <n v="8"/>
    <n v="54"/>
    <x v="0"/>
    <x v="0"/>
    <s v="Dumbbells"/>
    <x v="3"/>
    <n v="120"/>
    <n v="200"/>
    <n v="960"/>
    <n v="1600"/>
    <n v="640"/>
    <n v="0.4"/>
    <s v="Medium_order"/>
    <x v="0"/>
    <s v="Medium_profit"/>
    <x v="11"/>
  </r>
  <r>
    <x v="110"/>
    <n v="3135"/>
    <n v="1007"/>
    <n v="2037"/>
    <n v="3"/>
    <n v="38"/>
    <x v="1"/>
    <x v="3"/>
    <s v="Charger"/>
    <x v="2"/>
    <n v="160"/>
    <n v="230"/>
    <n v="480"/>
    <n v="690"/>
    <n v="210"/>
    <n v="0.30434782608695654"/>
    <s v="Low_order"/>
    <x v="1"/>
    <s v="Low_profit"/>
    <x v="7"/>
  </r>
  <r>
    <x v="77"/>
    <n v="3136"/>
    <n v="1004"/>
    <n v="2006"/>
    <n v="7"/>
    <n v="32"/>
    <x v="1"/>
    <x v="2"/>
    <s v="Speaker"/>
    <x v="0"/>
    <n v="230"/>
    <n v="440"/>
    <n v="1610"/>
    <n v="3080"/>
    <n v="1470"/>
    <n v="0.47727272727272729"/>
    <s v="High_order"/>
    <x v="1"/>
    <s v="High_profit"/>
    <x v="9"/>
  </r>
  <r>
    <x v="111"/>
    <n v="3137"/>
    <n v="1013"/>
    <n v="2019"/>
    <n v="1"/>
    <n v="57"/>
    <x v="1"/>
    <x v="3"/>
    <s v="Desk Lamp"/>
    <x v="1"/>
    <n v="140"/>
    <n v="390"/>
    <n v="140"/>
    <n v="390"/>
    <n v="250"/>
    <n v="0.64102564102564108"/>
    <s v="Low_order"/>
    <x v="0"/>
    <s v="High_profit"/>
    <x v="4"/>
  </r>
  <r>
    <x v="112"/>
    <n v="3138"/>
    <n v="1014"/>
    <n v="2040"/>
    <n v="10"/>
    <n v="40"/>
    <x v="1"/>
    <x v="2"/>
    <s v="Stapler"/>
    <x v="1"/>
    <n v="170"/>
    <n v="280"/>
    <n v="1700"/>
    <n v="2800"/>
    <n v="1100"/>
    <n v="0.39285714285714285"/>
    <s v="High_order"/>
    <x v="1"/>
    <s v="Medium_profit"/>
    <x v="7"/>
  </r>
  <r>
    <x v="0"/>
    <n v="3139"/>
    <n v="1006"/>
    <n v="2032"/>
    <n v="10"/>
    <n v="42"/>
    <x v="1"/>
    <x v="2"/>
    <s v="Phone Case"/>
    <x v="2"/>
    <n v="320"/>
    <n v="430"/>
    <n v="3200"/>
    <n v="4300"/>
    <n v="1100"/>
    <n v="0.2558139534883721"/>
    <s v="High_order"/>
    <x v="0"/>
    <s v="Low_profit"/>
    <x v="0"/>
  </r>
  <r>
    <x v="113"/>
    <n v="3140"/>
    <n v="1003"/>
    <n v="2006"/>
    <n v="5"/>
    <n v="32"/>
    <x v="1"/>
    <x v="2"/>
    <s v="Mouse"/>
    <x v="0"/>
    <n v="140"/>
    <n v="350"/>
    <n v="700"/>
    <n v="1750"/>
    <n v="1050"/>
    <n v="0.6"/>
    <s v="Medium_order"/>
    <x v="1"/>
    <s v="High_profit"/>
    <x v="5"/>
  </r>
  <r>
    <x v="114"/>
    <n v="3141"/>
    <n v="1011"/>
    <n v="2034"/>
    <n v="7"/>
    <n v="48"/>
    <x v="0"/>
    <x v="4"/>
    <s v="Notebook"/>
    <x v="1"/>
    <n v="120"/>
    <n v="180"/>
    <n v="840"/>
    <n v="1260"/>
    <n v="420"/>
    <n v="0.33333333333333331"/>
    <s v="Low_order"/>
    <x v="0"/>
    <s v="Medium_profit"/>
    <x v="10"/>
  </r>
  <r>
    <x v="115"/>
    <n v="3142"/>
    <n v="1004"/>
    <n v="2023"/>
    <n v="3"/>
    <n v="41"/>
    <x v="1"/>
    <x v="0"/>
    <s v="Speaker"/>
    <x v="0"/>
    <n v="230"/>
    <n v="440"/>
    <n v="690"/>
    <n v="1320"/>
    <n v="630"/>
    <n v="0.47727272727272729"/>
    <s v="Medium_order"/>
    <x v="0"/>
    <s v="High_profit"/>
    <x v="8"/>
  </r>
  <r>
    <x v="116"/>
    <n v="3143"/>
    <n v="1020"/>
    <n v="2008"/>
    <n v="10"/>
    <n v="36"/>
    <x v="1"/>
    <x v="5"/>
    <s v="Water Bottle"/>
    <x v="3"/>
    <n v="400"/>
    <n v="560"/>
    <n v="4000"/>
    <n v="5600"/>
    <n v="1600"/>
    <n v="0.2857142857142857"/>
    <s v="High_order"/>
    <x v="1"/>
    <s v="Low_profit"/>
    <x v="9"/>
  </r>
  <r>
    <x v="117"/>
    <n v="3144"/>
    <n v="1011"/>
    <n v="2035"/>
    <n v="7"/>
    <n v="37"/>
    <x v="0"/>
    <x v="0"/>
    <s v="Notebook"/>
    <x v="1"/>
    <n v="120"/>
    <n v="180"/>
    <n v="840"/>
    <n v="1260"/>
    <n v="420"/>
    <n v="0.33333333333333331"/>
    <s v="Low_order"/>
    <x v="1"/>
    <s v="Medium_profit"/>
    <x v="8"/>
  </r>
  <r>
    <x v="49"/>
    <n v="3145"/>
    <n v="1019"/>
    <n v="2013"/>
    <n v="6"/>
    <n v="37"/>
    <x v="1"/>
    <x v="2"/>
    <s v="Skipping Rope"/>
    <x v="3"/>
    <n v="140"/>
    <n v="270"/>
    <n v="840"/>
    <n v="1620"/>
    <n v="780"/>
    <n v="0.48148148148148145"/>
    <s v="Medium_order"/>
    <x v="1"/>
    <s v="High_profit"/>
    <x v="1"/>
  </r>
  <r>
    <x v="118"/>
    <n v="3146"/>
    <n v="1001"/>
    <n v="2045"/>
    <n v="7"/>
    <n v="36"/>
    <x v="1"/>
    <x v="0"/>
    <s v="Headphones"/>
    <x v="0"/>
    <n v="380"/>
    <n v="550"/>
    <n v="2660"/>
    <n v="3850"/>
    <n v="1190"/>
    <n v="0.30909090909090908"/>
    <s v="High_order"/>
    <x v="1"/>
    <s v="Low_profit"/>
    <x v="4"/>
  </r>
  <r>
    <x v="91"/>
    <n v="3147"/>
    <n v="1006"/>
    <n v="2046"/>
    <n v="6"/>
    <n v="52"/>
    <x v="1"/>
    <x v="4"/>
    <s v="Phone Case"/>
    <x v="2"/>
    <n v="320"/>
    <n v="430"/>
    <n v="1920"/>
    <n v="2580"/>
    <n v="660"/>
    <n v="0.2558139534883721"/>
    <s v="High_order"/>
    <x v="0"/>
    <s v="Low_profit"/>
    <x v="11"/>
  </r>
  <r>
    <x v="5"/>
    <n v="3148"/>
    <n v="1011"/>
    <n v="2018"/>
    <n v="1"/>
    <n v="38"/>
    <x v="0"/>
    <x v="4"/>
    <s v="Notebook"/>
    <x v="1"/>
    <n v="120"/>
    <n v="180"/>
    <n v="120"/>
    <n v="180"/>
    <n v="60"/>
    <n v="0.33333333333333331"/>
    <s v="Low_order"/>
    <x v="1"/>
    <s v="Medium_profit"/>
    <x v="4"/>
  </r>
  <r>
    <x v="119"/>
    <n v="3149"/>
    <n v="1011"/>
    <n v="2031"/>
    <n v="7"/>
    <n v="38"/>
    <x v="1"/>
    <x v="1"/>
    <s v="Notebook"/>
    <x v="1"/>
    <n v="120"/>
    <n v="180"/>
    <n v="840"/>
    <n v="1260"/>
    <n v="420"/>
    <n v="0.33333333333333331"/>
    <s v="Low_order"/>
    <x v="1"/>
    <s v="Medium_profit"/>
    <x v="4"/>
  </r>
  <r>
    <x v="31"/>
    <n v="3150"/>
    <n v="1012"/>
    <n v="2049"/>
    <n v="6"/>
    <n v="44"/>
    <x v="0"/>
    <x v="0"/>
    <s v="Pen Set"/>
    <x v="1"/>
    <n v="380"/>
    <n v="510"/>
    <n v="2280"/>
    <n v="3060"/>
    <n v="780"/>
    <n v="0.25490196078431371"/>
    <s v="High_order"/>
    <x v="0"/>
    <s v="Low_profit"/>
    <x v="10"/>
  </r>
  <r>
    <x v="108"/>
    <n v="3151"/>
    <n v="1004"/>
    <n v="2037"/>
    <n v="3"/>
    <n v="38"/>
    <x v="1"/>
    <x v="3"/>
    <s v="Speaker"/>
    <x v="0"/>
    <n v="230"/>
    <n v="440"/>
    <n v="690"/>
    <n v="1320"/>
    <n v="630"/>
    <n v="0.47727272727272729"/>
    <s v="Medium_order"/>
    <x v="1"/>
    <s v="High_profit"/>
    <x v="9"/>
  </r>
  <r>
    <x v="120"/>
    <n v="3152"/>
    <n v="1011"/>
    <n v="2029"/>
    <n v="6"/>
    <n v="53"/>
    <x v="1"/>
    <x v="0"/>
    <s v="Notebook"/>
    <x v="1"/>
    <n v="120"/>
    <n v="180"/>
    <n v="720"/>
    <n v="1080"/>
    <n v="360"/>
    <n v="0.33333333333333331"/>
    <s v="Low_order"/>
    <x v="0"/>
    <s v="Medium_profit"/>
    <x v="4"/>
  </r>
  <r>
    <x v="71"/>
    <n v="3153"/>
    <n v="1003"/>
    <n v="2012"/>
    <n v="9"/>
    <n v="21"/>
    <x v="0"/>
    <x v="2"/>
    <s v="Mouse"/>
    <x v="0"/>
    <n v="140"/>
    <n v="350"/>
    <n v="1260"/>
    <n v="3150"/>
    <n v="1890"/>
    <n v="0.6"/>
    <s v="High_order"/>
    <x v="2"/>
    <s v="High_profit"/>
    <x v="8"/>
  </r>
  <r>
    <x v="121"/>
    <n v="3154"/>
    <n v="1001"/>
    <n v="2020"/>
    <n v="6"/>
    <n v="27"/>
    <x v="1"/>
    <x v="3"/>
    <s v="Headphones"/>
    <x v="0"/>
    <n v="380"/>
    <n v="550"/>
    <n v="2280"/>
    <n v="3300"/>
    <n v="1020"/>
    <n v="0.30909090909090908"/>
    <s v="High_order"/>
    <x v="2"/>
    <s v="Low_profit"/>
    <x v="1"/>
  </r>
  <r>
    <x v="81"/>
    <n v="3155"/>
    <n v="1005"/>
    <n v="2034"/>
    <n v="2"/>
    <n v="48"/>
    <x v="0"/>
    <x v="4"/>
    <s v="Webcam"/>
    <x v="0"/>
    <n v="340"/>
    <n v="520"/>
    <n v="680"/>
    <n v="1040"/>
    <n v="360"/>
    <n v="0.34615384615384615"/>
    <s v="Low_order"/>
    <x v="0"/>
    <s v="Medium_profit"/>
    <x v="2"/>
  </r>
  <r>
    <x v="122"/>
    <n v="3156"/>
    <n v="1003"/>
    <n v="2004"/>
    <n v="8"/>
    <n v="25"/>
    <x v="1"/>
    <x v="4"/>
    <s v="Mouse"/>
    <x v="0"/>
    <n v="140"/>
    <n v="350"/>
    <n v="1120"/>
    <n v="2800"/>
    <n v="1680"/>
    <n v="0.6"/>
    <s v="High_order"/>
    <x v="2"/>
    <s v="High_profit"/>
    <x v="3"/>
  </r>
  <r>
    <x v="123"/>
    <n v="3157"/>
    <n v="1018"/>
    <n v="2028"/>
    <n v="2"/>
    <n v="43"/>
    <x v="1"/>
    <x v="5"/>
    <s v="Resistance Band"/>
    <x v="3"/>
    <n v="310"/>
    <n v="480"/>
    <n v="620"/>
    <n v="960"/>
    <n v="340"/>
    <n v="0.35416666666666669"/>
    <s v="Low_order"/>
    <x v="0"/>
    <s v="Medium_profit"/>
    <x v="10"/>
  </r>
  <r>
    <x v="13"/>
    <n v="3158"/>
    <n v="1001"/>
    <n v="2017"/>
    <n v="2"/>
    <n v="32"/>
    <x v="1"/>
    <x v="0"/>
    <s v="Headphones"/>
    <x v="0"/>
    <n v="380"/>
    <n v="550"/>
    <n v="760"/>
    <n v="1100"/>
    <n v="340"/>
    <n v="0.30909090909090908"/>
    <s v="Low_order"/>
    <x v="1"/>
    <s v="Low_profit"/>
    <x v="5"/>
  </r>
  <r>
    <x v="124"/>
    <n v="3159"/>
    <n v="1013"/>
    <n v="2048"/>
    <n v="5"/>
    <n v="41"/>
    <x v="0"/>
    <x v="5"/>
    <s v="Desk Lamp"/>
    <x v="1"/>
    <n v="140"/>
    <n v="390"/>
    <n v="700"/>
    <n v="1950"/>
    <n v="1250"/>
    <n v="0.64102564102564108"/>
    <s v="Medium_order"/>
    <x v="0"/>
    <s v="High_profit"/>
    <x v="4"/>
  </r>
  <r>
    <x v="108"/>
    <n v="3160"/>
    <n v="1003"/>
    <n v="2008"/>
    <n v="7"/>
    <n v="36"/>
    <x v="1"/>
    <x v="5"/>
    <s v="Mouse"/>
    <x v="0"/>
    <n v="140"/>
    <n v="350"/>
    <n v="980"/>
    <n v="2450"/>
    <n v="1470"/>
    <n v="0.6"/>
    <s v="High_order"/>
    <x v="1"/>
    <s v="High_profit"/>
    <x v="9"/>
  </r>
  <r>
    <x v="125"/>
    <n v="3161"/>
    <n v="1020"/>
    <n v="2044"/>
    <n v="10"/>
    <n v="44"/>
    <x v="0"/>
    <x v="5"/>
    <s v="Water Bottle"/>
    <x v="3"/>
    <n v="400"/>
    <n v="560"/>
    <n v="4000"/>
    <n v="5600"/>
    <n v="1600"/>
    <n v="0.2857142857142857"/>
    <s v="High_order"/>
    <x v="0"/>
    <s v="Low_profit"/>
    <x v="8"/>
  </r>
  <r>
    <x v="126"/>
    <n v="3162"/>
    <n v="1005"/>
    <n v="2014"/>
    <n v="5"/>
    <n v="58"/>
    <x v="0"/>
    <x v="3"/>
    <s v="Webcam"/>
    <x v="0"/>
    <n v="340"/>
    <n v="520"/>
    <n v="1700"/>
    <n v="2600"/>
    <n v="900"/>
    <n v="0.34615384615384615"/>
    <s v="High_order"/>
    <x v="0"/>
    <s v="Medium_profit"/>
    <x v="6"/>
  </r>
  <r>
    <x v="127"/>
    <n v="3163"/>
    <n v="1005"/>
    <n v="2022"/>
    <n v="10"/>
    <n v="19"/>
    <x v="1"/>
    <x v="4"/>
    <s v="Webcam"/>
    <x v="0"/>
    <n v="340"/>
    <n v="520"/>
    <n v="3400"/>
    <n v="5200"/>
    <n v="1800"/>
    <n v="0.34615384615384615"/>
    <s v="High_order"/>
    <x v="2"/>
    <s v="Medium_profit"/>
    <x v="10"/>
  </r>
  <r>
    <x v="128"/>
    <n v="3164"/>
    <n v="1014"/>
    <n v="2002"/>
    <n v="5"/>
    <n v="33"/>
    <x v="1"/>
    <x v="0"/>
    <s v="Stapler"/>
    <x v="1"/>
    <n v="170"/>
    <n v="280"/>
    <n v="850"/>
    <n v="1400"/>
    <n v="550"/>
    <n v="0.39285714285714285"/>
    <s v="Medium_order"/>
    <x v="1"/>
    <s v="Medium_profit"/>
    <x v="3"/>
  </r>
  <r>
    <x v="129"/>
    <n v="3165"/>
    <n v="1015"/>
    <n v="2028"/>
    <n v="4"/>
    <n v="43"/>
    <x v="1"/>
    <x v="5"/>
    <s v="Organizer"/>
    <x v="1"/>
    <n v="70"/>
    <n v="210"/>
    <n v="280"/>
    <n v="840"/>
    <n v="560"/>
    <n v="0.66666666666666663"/>
    <s v="Low_order"/>
    <x v="0"/>
    <s v="High_profit"/>
    <x v="3"/>
  </r>
  <r>
    <x v="130"/>
    <n v="3166"/>
    <n v="1014"/>
    <n v="2040"/>
    <n v="3"/>
    <n v="40"/>
    <x v="1"/>
    <x v="2"/>
    <s v="Stapler"/>
    <x v="1"/>
    <n v="170"/>
    <n v="280"/>
    <n v="510"/>
    <n v="840"/>
    <n v="330"/>
    <n v="0.39285714285714285"/>
    <s v="Low_order"/>
    <x v="1"/>
    <s v="Medium_profit"/>
    <x v="8"/>
  </r>
  <r>
    <x v="131"/>
    <n v="3167"/>
    <n v="1004"/>
    <n v="2025"/>
    <n v="8"/>
    <n v="34"/>
    <x v="1"/>
    <x v="0"/>
    <s v="Speaker"/>
    <x v="0"/>
    <n v="230"/>
    <n v="440"/>
    <n v="1840"/>
    <n v="3520"/>
    <n v="1680"/>
    <n v="0.47727272727272729"/>
    <s v="High_order"/>
    <x v="1"/>
    <s v="High_profit"/>
    <x v="1"/>
  </r>
  <r>
    <x v="20"/>
    <n v="3168"/>
    <n v="1016"/>
    <n v="2047"/>
    <n v="6"/>
    <n v="28"/>
    <x v="1"/>
    <x v="3"/>
    <s v="Yoga Mat"/>
    <x v="3"/>
    <n v="330"/>
    <n v="490"/>
    <n v="1980"/>
    <n v="2940"/>
    <n v="960"/>
    <n v="0.32653061224489793"/>
    <s v="High_order"/>
    <x v="2"/>
    <s v="Medium_profit"/>
    <x v="7"/>
  </r>
  <r>
    <x v="17"/>
    <n v="3169"/>
    <n v="1016"/>
    <n v="2041"/>
    <n v="3"/>
    <n v="28"/>
    <x v="1"/>
    <x v="4"/>
    <s v="Yoga Mat"/>
    <x v="3"/>
    <n v="330"/>
    <n v="490"/>
    <n v="990"/>
    <n v="1470"/>
    <n v="480"/>
    <n v="0.32653061224489793"/>
    <s v="Medium_order"/>
    <x v="2"/>
    <s v="Medium_profit"/>
    <x v="2"/>
  </r>
  <r>
    <x v="132"/>
    <n v="3170"/>
    <n v="1007"/>
    <n v="2021"/>
    <n v="6"/>
    <n v="28"/>
    <x v="1"/>
    <x v="0"/>
    <s v="Charger"/>
    <x v="2"/>
    <n v="160"/>
    <n v="230"/>
    <n v="960"/>
    <n v="1380"/>
    <n v="420"/>
    <n v="0.30434782608695654"/>
    <s v="Medium_order"/>
    <x v="2"/>
    <s v="Low_profit"/>
    <x v="7"/>
  </r>
  <r>
    <x v="133"/>
    <n v="3171"/>
    <n v="1011"/>
    <n v="2005"/>
    <n v="2"/>
    <n v="56"/>
    <x v="0"/>
    <x v="2"/>
    <s v="Notebook"/>
    <x v="1"/>
    <n v="120"/>
    <n v="180"/>
    <n v="240"/>
    <n v="360"/>
    <n v="120"/>
    <n v="0.33333333333333331"/>
    <s v="Low_order"/>
    <x v="0"/>
    <s v="Medium_profit"/>
    <x v="0"/>
  </r>
  <r>
    <x v="79"/>
    <n v="3172"/>
    <n v="1019"/>
    <n v="2034"/>
    <n v="9"/>
    <n v="48"/>
    <x v="0"/>
    <x v="4"/>
    <s v="Skipping Rope"/>
    <x v="3"/>
    <n v="140"/>
    <n v="270"/>
    <n v="1260"/>
    <n v="2430"/>
    <n v="1170"/>
    <n v="0.48148148148148145"/>
    <s v="High_order"/>
    <x v="0"/>
    <s v="High_profit"/>
    <x v="3"/>
  </r>
  <r>
    <x v="134"/>
    <n v="3173"/>
    <n v="1011"/>
    <n v="2050"/>
    <n v="4"/>
    <n v="54"/>
    <x v="0"/>
    <x v="0"/>
    <s v="Notebook"/>
    <x v="1"/>
    <n v="120"/>
    <n v="180"/>
    <n v="480"/>
    <n v="720"/>
    <n v="240"/>
    <n v="0.33333333333333331"/>
    <s v="Low_order"/>
    <x v="0"/>
    <s v="Medium_profit"/>
    <x v="3"/>
  </r>
  <r>
    <x v="112"/>
    <n v="3174"/>
    <n v="1008"/>
    <n v="2047"/>
    <n v="8"/>
    <n v="28"/>
    <x v="1"/>
    <x v="3"/>
    <s v="USB Cable"/>
    <x v="2"/>
    <n v="340"/>
    <n v="430"/>
    <n v="2720"/>
    <n v="3440"/>
    <n v="720"/>
    <n v="0.20930232558139536"/>
    <s v="High_order"/>
    <x v="2"/>
    <s v="Low_profit"/>
    <x v="7"/>
  </r>
  <r>
    <x v="135"/>
    <n v="3175"/>
    <n v="1017"/>
    <n v="2046"/>
    <n v="9"/>
    <n v="52"/>
    <x v="1"/>
    <x v="4"/>
    <s v="Dumbbells"/>
    <x v="3"/>
    <n v="120"/>
    <n v="200"/>
    <n v="1080"/>
    <n v="1800"/>
    <n v="720"/>
    <n v="0.4"/>
    <s v="Medium_order"/>
    <x v="0"/>
    <s v="Medium_profit"/>
    <x v="1"/>
  </r>
  <r>
    <x v="136"/>
    <n v="3176"/>
    <n v="1009"/>
    <n v="2008"/>
    <n v="7"/>
    <n v="36"/>
    <x v="1"/>
    <x v="5"/>
    <s v="Power Bank"/>
    <x v="2"/>
    <n v="50"/>
    <n v="220"/>
    <n v="350"/>
    <n v="1540"/>
    <n v="1190"/>
    <n v="0.77272727272727271"/>
    <s v="Medium_order"/>
    <x v="1"/>
    <s v="High_profit"/>
    <x v="9"/>
  </r>
  <r>
    <x v="126"/>
    <n v="3177"/>
    <n v="1010"/>
    <n v="2020"/>
    <n v="5"/>
    <n v="27"/>
    <x v="1"/>
    <x v="3"/>
    <s v="Laptop Sleeve"/>
    <x v="2"/>
    <n v="290"/>
    <n v="470"/>
    <n v="1450"/>
    <n v="2350"/>
    <n v="900"/>
    <n v="0.38297872340425532"/>
    <s v="Medium_order"/>
    <x v="2"/>
    <s v="Medium_profit"/>
    <x v="6"/>
  </r>
  <r>
    <x v="68"/>
    <n v="3178"/>
    <n v="1003"/>
    <n v="2017"/>
    <n v="9"/>
    <n v="32"/>
    <x v="1"/>
    <x v="0"/>
    <s v="Mouse"/>
    <x v="0"/>
    <n v="140"/>
    <n v="350"/>
    <n v="1260"/>
    <n v="3150"/>
    <n v="1890"/>
    <n v="0.6"/>
    <s v="High_order"/>
    <x v="1"/>
    <s v="High_profit"/>
    <x v="0"/>
  </r>
  <r>
    <x v="9"/>
    <n v="3179"/>
    <n v="1003"/>
    <n v="2023"/>
    <n v="7"/>
    <n v="41"/>
    <x v="1"/>
    <x v="0"/>
    <s v="Mouse"/>
    <x v="0"/>
    <n v="140"/>
    <n v="350"/>
    <n v="980"/>
    <n v="2450"/>
    <n v="1470"/>
    <n v="0.6"/>
    <s v="High_order"/>
    <x v="0"/>
    <s v="High_profit"/>
    <x v="2"/>
  </r>
  <r>
    <x v="137"/>
    <n v="3180"/>
    <n v="1010"/>
    <n v="2045"/>
    <n v="6"/>
    <n v="36"/>
    <x v="1"/>
    <x v="0"/>
    <s v="Laptop Sleeve"/>
    <x v="2"/>
    <n v="290"/>
    <n v="470"/>
    <n v="1740"/>
    <n v="2820"/>
    <n v="1080"/>
    <n v="0.38297872340425532"/>
    <s v="High_order"/>
    <x v="1"/>
    <s v="Medium_profit"/>
    <x v="7"/>
  </r>
  <r>
    <x v="83"/>
    <n v="3181"/>
    <n v="1003"/>
    <n v="2007"/>
    <n v="4"/>
    <n v="34"/>
    <x v="1"/>
    <x v="1"/>
    <s v="Mouse"/>
    <x v="0"/>
    <n v="140"/>
    <n v="350"/>
    <n v="560"/>
    <n v="1400"/>
    <n v="840"/>
    <n v="0.6"/>
    <s v="Medium_order"/>
    <x v="1"/>
    <s v="High_profit"/>
    <x v="0"/>
  </r>
  <r>
    <x v="83"/>
    <n v="3182"/>
    <n v="1014"/>
    <n v="2048"/>
    <n v="8"/>
    <n v="41"/>
    <x v="0"/>
    <x v="5"/>
    <s v="Stapler"/>
    <x v="1"/>
    <n v="170"/>
    <n v="280"/>
    <n v="1360"/>
    <n v="2240"/>
    <n v="880"/>
    <n v="0.39285714285714285"/>
    <s v="Medium_order"/>
    <x v="0"/>
    <s v="Medium_profit"/>
    <x v="0"/>
  </r>
  <r>
    <x v="138"/>
    <n v="3183"/>
    <n v="1015"/>
    <n v="2018"/>
    <n v="6"/>
    <n v="38"/>
    <x v="0"/>
    <x v="4"/>
    <s v="Organizer"/>
    <x v="1"/>
    <n v="70"/>
    <n v="210"/>
    <n v="420"/>
    <n v="1260"/>
    <n v="840"/>
    <n v="0.66666666666666663"/>
    <s v="Low_order"/>
    <x v="1"/>
    <s v="High_profit"/>
    <x v="3"/>
  </r>
  <r>
    <x v="137"/>
    <n v="3184"/>
    <n v="1001"/>
    <n v="2015"/>
    <n v="2"/>
    <n v="40"/>
    <x v="1"/>
    <x v="0"/>
    <s v="Headphones"/>
    <x v="0"/>
    <n v="380"/>
    <n v="550"/>
    <n v="760"/>
    <n v="1100"/>
    <n v="340"/>
    <n v="0.30909090909090908"/>
    <s v="Low_order"/>
    <x v="1"/>
    <s v="Low_profit"/>
    <x v="7"/>
  </r>
  <r>
    <x v="139"/>
    <n v="3185"/>
    <n v="1018"/>
    <n v="2002"/>
    <n v="3"/>
    <n v="33"/>
    <x v="1"/>
    <x v="0"/>
    <s v="Resistance Band"/>
    <x v="3"/>
    <n v="310"/>
    <n v="480"/>
    <n v="930"/>
    <n v="1440"/>
    <n v="510"/>
    <n v="0.35416666666666669"/>
    <s v="Medium_order"/>
    <x v="1"/>
    <s v="Medium_profit"/>
    <x v="8"/>
  </r>
  <r>
    <x v="140"/>
    <n v="3186"/>
    <n v="1016"/>
    <n v="2048"/>
    <n v="1"/>
    <n v="41"/>
    <x v="0"/>
    <x v="5"/>
    <s v="Yoga Mat"/>
    <x v="3"/>
    <n v="330"/>
    <n v="490"/>
    <n v="330"/>
    <n v="490"/>
    <n v="160"/>
    <n v="0.32653061224489793"/>
    <s v="Low_order"/>
    <x v="0"/>
    <s v="Medium_profit"/>
    <x v="6"/>
  </r>
  <r>
    <x v="129"/>
    <n v="3187"/>
    <n v="1011"/>
    <n v="2011"/>
    <n v="1"/>
    <n v="33"/>
    <x v="0"/>
    <x v="3"/>
    <s v="Notebook"/>
    <x v="1"/>
    <n v="120"/>
    <n v="180"/>
    <n v="120"/>
    <n v="180"/>
    <n v="60"/>
    <n v="0.33333333333333331"/>
    <s v="Low_order"/>
    <x v="1"/>
    <s v="Medium_profit"/>
    <x v="3"/>
  </r>
  <r>
    <x v="141"/>
    <n v="3188"/>
    <n v="1011"/>
    <n v="2014"/>
    <n v="3"/>
    <n v="58"/>
    <x v="0"/>
    <x v="3"/>
    <s v="Notebook"/>
    <x v="1"/>
    <n v="120"/>
    <n v="180"/>
    <n v="360"/>
    <n v="540"/>
    <n v="180"/>
    <n v="0.33333333333333331"/>
    <s v="Low_order"/>
    <x v="0"/>
    <s v="Medium_profit"/>
    <x v="10"/>
  </r>
  <r>
    <x v="142"/>
    <n v="3189"/>
    <n v="1005"/>
    <n v="2023"/>
    <n v="7"/>
    <n v="41"/>
    <x v="1"/>
    <x v="0"/>
    <s v="Webcam"/>
    <x v="0"/>
    <n v="340"/>
    <n v="520"/>
    <n v="2380"/>
    <n v="3640"/>
    <n v="1260"/>
    <n v="0.34615384615384615"/>
    <s v="High_order"/>
    <x v="0"/>
    <s v="Medium_profit"/>
    <x v="9"/>
  </r>
  <r>
    <x v="143"/>
    <n v="3190"/>
    <n v="1019"/>
    <n v="2032"/>
    <n v="6"/>
    <n v="42"/>
    <x v="1"/>
    <x v="2"/>
    <s v="Skipping Rope"/>
    <x v="3"/>
    <n v="140"/>
    <n v="270"/>
    <n v="840"/>
    <n v="1620"/>
    <n v="780"/>
    <n v="0.48148148148148145"/>
    <s v="Medium_order"/>
    <x v="0"/>
    <s v="High_profit"/>
    <x v="6"/>
  </r>
  <r>
    <x v="144"/>
    <n v="3191"/>
    <n v="1002"/>
    <n v="2015"/>
    <n v="10"/>
    <n v="40"/>
    <x v="1"/>
    <x v="0"/>
    <s v="Keyboard"/>
    <x v="0"/>
    <n v="230"/>
    <n v="400"/>
    <n v="2300"/>
    <n v="4000"/>
    <n v="1700"/>
    <n v="0.42499999999999999"/>
    <s v="High_order"/>
    <x v="1"/>
    <s v="High_profit"/>
    <x v="5"/>
  </r>
  <r>
    <x v="145"/>
    <n v="3192"/>
    <n v="1002"/>
    <n v="2015"/>
    <n v="2"/>
    <n v="40"/>
    <x v="1"/>
    <x v="0"/>
    <s v="Keyboard"/>
    <x v="0"/>
    <n v="230"/>
    <n v="400"/>
    <n v="460"/>
    <n v="800"/>
    <n v="340"/>
    <n v="0.42499999999999999"/>
    <s v="Low_order"/>
    <x v="1"/>
    <s v="High_profit"/>
    <x v="4"/>
  </r>
  <r>
    <x v="146"/>
    <n v="3193"/>
    <n v="1020"/>
    <n v="2034"/>
    <n v="5"/>
    <n v="48"/>
    <x v="0"/>
    <x v="4"/>
    <s v="Water Bottle"/>
    <x v="3"/>
    <n v="400"/>
    <n v="560"/>
    <n v="2000"/>
    <n v="2800"/>
    <n v="800"/>
    <n v="0.2857142857142857"/>
    <s v="High_order"/>
    <x v="0"/>
    <s v="Low_profit"/>
    <x v="4"/>
  </r>
  <r>
    <x v="147"/>
    <n v="3194"/>
    <n v="1017"/>
    <n v="2033"/>
    <n v="1"/>
    <n v="43"/>
    <x v="0"/>
    <x v="2"/>
    <s v="Dumbbells"/>
    <x v="3"/>
    <n v="120"/>
    <n v="200"/>
    <n v="120"/>
    <n v="200"/>
    <n v="80"/>
    <n v="0.4"/>
    <s v="Low_order"/>
    <x v="0"/>
    <s v="Medium_profit"/>
    <x v="11"/>
  </r>
  <r>
    <x v="148"/>
    <n v="3195"/>
    <n v="1008"/>
    <n v="2042"/>
    <n v="6"/>
    <n v="18"/>
    <x v="0"/>
    <x v="1"/>
    <s v="USB Cable"/>
    <x v="2"/>
    <n v="340"/>
    <n v="430"/>
    <n v="2040"/>
    <n v="2580"/>
    <n v="540"/>
    <n v="0.20930232558139536"/>
    <s v="High_order"/>
    <x v="2"/>
    <s v="Low_profit"/>
    <x v="1"/>
  </r>
  <r>
    <x v="149"/>
    <n v="3196"/>
    <n v="1006"/>
    <n v="2042"/>
    <n v="6"/>
    <n v="18"/>
    <x v="0"/>
    <x v="1"/>
    <s v="Phone Case"/>
    <x v="2"/>
    <n v="320"/>
    <n v="430"/>
    <n v="1920"/>
    <n v="2580"/>
    <n v="660"/>
    <n v="0.2558139534883721"/>
    <s v="High_order"/>
    <x v="2"/>
    <s v="Low_profit"/>
    <x v="1"/>
  </r>
  <r>
    <x v="109"/>
    <n v="3197"/>
    <n v="1006"/>
    <n v="2046"/>
    <n v="4"/>
    <n v="52"/>
    <x v="1"/>
    <x v="4"/>
    <s v="Phone Case"/>
    <x v="2"/>
    <n v="320"/>
    <n v="430"/>
    <n v="1280"/>
    <n v="1720"/>
    <n v="440"/>
    <n v="0.2558139534883721"/>
    <s v="Medium_order"/>
    <x v="0"/>
    <s v="Low_profit"/>
    <x v="11"/>
  </r>
  <r>
    <x v="104"/>
    <n v="3198"/>
    <n v="1002"/>
    <n v="2047"/>
    <n v="6"/>
    <n v="28"/>
    <x v="1"/>
    <x v="3"/>
    <s v="Keyboard"/>
    <x v="0"/>
    <n v="230"/>
    <n v="400"/>
    <n v="1380"/>
    <n v="2400"/>
    <n v="1020"/>
    <n v="0.42499999999999999"/>
    <s v="Medium_order"/>
    <x v="2"/>
    <s v="High_profit"/>
    <x v="5"/>
  </r>
  <r>
    <x v="150"/>
    <n v="3199"/>
    <n v="1016"/>
    <n v="2045"/>
    <n v="8"/>
    <n v="36"/>
    <x v="1"/>
    <x v="0"/>
    <s v="Yoga Mat"/>
    <x v="3"/>
    <n v="330"/>
    <n v="490"/>
    <n v="2640"/>
    <n v="3920"/>
    <n v="1280"/>
    <n v="0.32653061224489793"/>
    <s v="High_order"/>
    <x v="1"/>
    <s v="Medium_profit"/>
    <x v="1"/>
  </r>
  <r>
    <x v="151"/>
    <n v="3200"/>
    <n v="1006"/>
    <n v="2019"/>
    <n v="2"/>
    <n v="57"/>
    <x v="1"/>
    <x v="3"/>
    <s v="Phone Case"/>
    <x v="2"/>
    <n v="320"/>
    <n v="430"/>
    <n v="640"/>
    <n v="860"/>
    <n v="220"/>
    <n v="0.2558139534883721"/>
    <s v="Low_order"/>
    <x v="0"/>
    <s v="Low_profit"/>
    <x v="5"/>
  </r>
  <r>
    <x v="152"/>
    <n v="3201"/>
    <n v="1020"/>
    <n v="2026"/>
    <n v="8"/>
    <n v="27"/>
    <x v="0"/>
    <x v="5"/>
    <s v="Water Bottle"/>
    <x v="3"/>
    <n v="400"/>
    <n v="560"/>
    <n v="3200"/>
    <n v="4480"/>
    <n v="1280"/>
    <n v="0.2857142857142857"/>
    <s v="High_order"/>
    <x v="2"/>
    <s v="Low_profit"/>
    <x v="10"/>
  </r>
  <r>
    <x v="153"/>
    <n v="3202"/>
    <n v="1008"/>
    <n v="2002"/>
    <n v="7"/>
    <n v="33"/>
    <x v="1"/>
    <x v="0"/>
    <s v="USB Cable"/>
    <x v="2"/>
    <n v="340"/>
    <n v="430"/>
    <n v="2380"/>
    <n v="3010"/>
    <n v="630"/>
    <n v="0.20930232558139536"/>
    <s v="High_order"/>
    <x v="1"/>
    <s v="Low_profit"/>
    <x v="8"/>
  </r>
  <r>
    <x v="13"/>
    <n v="3203"/>
    <n v="1016"/>
    <n v="2002"/>
    <n v="10"/>
    <n v="33"/>
    <x v="1"/>
    <x v="0"/>
    <s v="Yoga Mat"/>
    <x v="3"/>
    <n v="330"/>
    <n v="490"/>
    <n v="3300"/>
    <n v="4900"/>
    <n v="1600"/>
    <n v="0.32653061224489793"/>
    <s v="High_order"/>
    <x v="1"/>
    <s v="Medium_profit"/>
    <x v="5"/>
  </r>
  <r>
    <x v="154"/>
    <n v="3204"/>
    <n v="1009"/>
    <n v="2024"/>
    <n v="6"/>
    <n v="26"/>
    <x v="0"/>
    <x v="0"/>
    <s v="Power Bank"/>
    <x v="2"/>
    <n v="50"/>
    <n v="220"/>
    <n v="300"/>
    <n v="1320"/>
    <n v="1020"/>
    <n v="0.77272727272727271"/>
    <s v="Medium_order"/>
    <x v="2"/>
    <s v="High_profit"/>
    <x v="6"/>
  </r>
  <r>
    <x v="155"/>
    <n v="3205"/>
    <n v="1003"/>
    <n v="2033"/>
    <n v="8"/>
    <n v="43"/>
    <x v="0"/>
    <x v="2"/>
    <s v="Mouse"/>
    <x v="0"/>
    <n v="140"/>
    <n v="350"/>
    <n v="1120"/>
    <n v="2800"/>
    <n v="1680"/>
    <n v="0.6"/>
    <s v="High_order"/>
    <x v="0"/>
    <s v="High_profit"/>
    <x v="8"/>
  </r>
  <r>
    <x v="26"/>
    <n v="3206"/>
    <n v="1002"/>
    <n v="2004"/>
    <n v="7"/>
    <n v="25"/>
    <x v="1"/>
    <x v="4"/>
    <s v="Keyboard"/>
    <x v="0"/>
    <n v="230"/>
    <n v="400"/>
    <n v="1610"/>
    <n v="2800"/>
    <n v="1190"/>
    <n v="0.42499999999999999"/>
    <s v="High_order"/>
    <x v="2"/>
    <s v="High_profit"/>
    <x v="3"/>
  </r>
  <r>
    <x v="156"/>
    <n v="3207"/>
    <n v="1011"/>
    <n v="2006"/>
    <n v="2"/>
    <n v="32"/>
    <x v="1"/>
    <x v="2"/>
    <s v="Notebook"/>
    <x v="1"/>
    <n v="120"/>
    <n v="180"/>
    <n v="240"/>
    <n v="360"/>
    <n v="120"/>
    <n v="0.33333333333333331"/>
    <s v="Low_order"/>
    <x v="1"/>
    <s v="Medium_profit"/>
    <x v="5"/>
  </r>
  <r>
    <x v="74"/>
    <n v="3208"/>
    <n v="1010"/>
    <n v="2044"/>
    <n v="8"/>
    <n v="44"/>
    <x v="0"/>
    <x v="5"/>
    <s v="Laptop Sleeve"/>
    <x v="2"/>
    <n v="290"/>
    <n v="470"/>
    <n v="2320"/>
    <n v="3760"/>
    <n v="1440"/>
    <n v="0.38297872340425532"/>
    <s v="High_order"/>
    <x v="0"/>
    <s v="Medium_profit"/>
    <x v="9"/>
  </r>
  <r>
    <x v="157"/>
    <n v="3209"/>
    <n v="1016"/>
    <n v="2006"/>
    <n v="3"/>
    <n v="32"/>
    <x v="1"/>
    <x v="2"/>
    <s v="Yoga Mat"/>
    <x v="3"/>
    <n v="330"/>
    <n v="490"/>
    <n v="990"/>
    <n v="1470"/>
    <n v="480"/>
    <n v="0.32653061224489793"/>
    <s v="Medium_order"/>
    <x v="1"/>
    <s v="Medium_profit"/>
    <x v="0"/>
  </r>
  <r>
    <x v="158"/>
    <n v="3210"/>
    <n v="1017"/>
    <n v="2007"/>
    <n v="10"/>
    <n v="34"/>
    <x v="1"/>
    <x v="1"/>
    <s v="Dumbbells"/>
    <x v="3"/>
    <n v="120"/>
    <n v="200"/>
    <n v="1200"/>
    <n v="2000"/>
    <n v="800"/>
    <n v="0.4"/>
    <s v="Medium_order"/>
    <x v="1"/>
    <s v="Medium_profit"/>
    <x v="10"/>
  </r>
  <r>
    <x v="87"/>
    <n v="3211"/>
    <n v="1014"/>
    <n v="2047"/>
    <n v="8"/>
    <n v="28"/>
    <x v="1"/>
    <x v="3"/>
    <s v="Stapler"/>
    <x v="1"/>
    <n v="170"/>
    <n v="280"/>
    <n v="1360"/>
    <n v="2240"/>
    <n v="880"/>
    <n v="0.39285714285714285"/>
    <s v="Medium_order"/>
    <x v="2"/>
    <s v="Medium_profit"/>
    <x v="11"/>
  </r>
  <r>
    <x v="95"/>
    <n v="3212"/>
    <n v="1018"/>
    <n v="2040"/>
    <n v="8"/>
    <n v="40"/>
    <x v="1"/>
    <x v="2"/>
    <s v="Resistance Band"/>
    <x v="3"/>
    <n v="310"/>
    <n v="480"/>
    <n v="2480"/>
    <n v="3840"/>
    <n v="1360"/>
    <n v="0.35416666666666669"/>
    <s v="High_order"/>
    <x v="1"/>
    <s v="Medium_profit"/>
    <x v="11"/>
  </r>
  <r>
    <x v="96"/>
    <n v="3213"/>
    <n v="1007"/>
    <n v="2019"/>
    <n v="10"/>
    <n v="57"/>
    <x v="1"/>
    <x v="3"/>
    <s v="Charger"/>
    <x v="2"/>
    <n v="160"/>
    <n v="230"/>
    <n v="1600"/>
    <n v="2300"/>
    <n v="700"/>
    <n v="0.30434782608695654"/>
    <s v="Medium_order"/>
    <x v="0"/>
    <s v="Low_profit"/>
    <x v="6"/>
  </r>
  <r>
    <x v="43"/>
    <n v="3214"/>
    <n v="1005"/>
    <n v="2035"/>
    <n v="7"/>
    <n v="37"/>
    <x v="0"/>
    <x v="0"/>
    <s v="Webcam"/>
    <x v="0"/>
    <n v="340"/>
    <n v="520"/>
    <n v="2380"/>
    <n v="3640"/>
    <n v="1260"/>
    <n v="0.34615384615384615"/>
    <s v="High_order"/>
    <x v="1"/>
    <s v="Medium_profit"/>
    <x v="8"/>
  </r>
  <r>
    <x v="92"/>
    <n v="3215"/>
    <n v="1005"/>
    <n v="2010"/>
    <n v="2"/>
    <n v="38"/>
    <x v="0"/>
    <x v="5"/>
    <s v="Webcam"/>
    <x v="0"/>
    <n v="340"/>
    <n v="520"/>
    <n v="680"/>
    <n v="1040"/>
    <n v="360"/>
    <n v="0.34615384615384615"/>
    <s v="Low_order"/>
    <x v="1"/>
    <s v="Medium_profit"/>
    <x v="6"/>
  </r>
  <r>
    <x v="115"/>
    <n v="3216"/>
    <n v="1003"/>
    <n v="2036"/>
    <n v="9"/>
    <n v="30"/>
    <x v="1"/>
    <x v="0"/>
    <s v="Mouse"/>
    <x v="0"/>
    <n v="140"/>
    <n v="350"/>
    <n v="1260"/>
    <n v="3150"/>
    <n v="1890"/>
    <n v="0.6"/>
    <s v="High_order"/>
    <x v="2"/>
    <s v="High_profit"/>
    <x v="8"/>
  </r>
  <r>
    <x v="159"/>
    <n v="3217"/>
    <n v="1011"/>
    <n v="2042"/>
    <n v="3"/>
    <n v="18"/>
    <x v="0"/>
    <x v="1"/>
    <s v="Notebook"/>
    <x v="1"/>
    <n v="120"/>
    <n v="180"/>
    <n v="360"/>
    <n v="540"/>
    <n v="180"/>
    <n v="0.33333333333333331"/>
    <s v="Low_order"/>
    <x v="2"/>
    <s v="Medium_profit"/>
    <x v="5"/>
  </r>
  <r>
    <x v="76"/>
    <n v="3218"/>
    <n v="1014"/>
    <n v="2040"/>
    <n v="3"/>
    <n v="40"/>
    <x v="1"/>
    <x v="2"/>
    <s v="Stapler"/>
    <x v="1"/>
    <n v="170"/>
    <n v="280"/>
    <n v="510"/>
    <n v="840"/>
    <n v="330"/>
    <n v="0.39285714285714285"/>
    <s v="Low_order"/>
    <x v="1"/>
    <s v="Medium_profit"/>
    <x v="2"/>
  </r>
  <r>
    <x v="5"/>
    <n v="3219"/>
    <n v="1001"/>
    <n v="2010"/>
    <n v="4"/>
    <n v="38"/>
    <x v="0"/>
    <x v="5"/>
    <s v="Headphones"/>
    <x v="0"/>
    <n v="380"/>
    <n v="550"/>
    <n v="1520"/>
    <n v="2200"/>
    <n v="680"/>
    <n v="0.30909090909090908"/>
    <s v="Medium_order"/>
    <x v="1"/>
    <s v="Low_profit"/>
    <x v="4"/>
  </r>
  <r>
    <x v="160"/>
    <n v="3220"/>
    <n v="1013"/>
    <n v="2005"/>
    <n v="10"/>
    <n v="56"/>
    <x v="0"/>
    <x v="2"/>
    <s v="Desk Lamp"/>
    <x v="1"/>
    <n v="140"/>
    <n v="390"/>
    <n v="1400"/>
    <n v="3900"/>
    <n v="2500"/>
    <n v="0.64102564102564108"/>
    <s v="High_order"/>
    <x v="0"/>
    <s v="High_profit"/>
    <x v="2"/>
  </r>
  <r>
    <x v="71"/>
    <n v="3221"/>
    <n v="1013"/>
    <n v="2022"/>
    <n v="8"/>
    <n v="19"/>
    <x v="1"/>
    <x v="4"/>
    <s v="Desk Lamp"/>
    <x v="1"/>
    <n v="140"/>
    <n v="390"/>
    <n v="1120"/>
    <n v="3120"/>
    <n v="2000"/>
    <n v="0.64102564102564108"/>
    <s v="High_order"/>
    <x v="2"/>
    <s v="High_profit"/>
    <x v="8"/>
  </r>
  <r>
    <x v="161"/>
    <n v="3222"/>
    <n v="1009"/>
    <n v="2010"/>
    <n v="2"/>
    <n v="38"/>
    <x v="0"/>
    <x v="5"/>
    <s v="Power Bank"/>
    <x v="2"/>
    <n v="50"/>
    <n v="220"/>
    <n v="100"/>
    <n v="440"/>
    <n v="340"/>
    <n v="0.77272727272727271"/>
    <s v="Low_order"/>
    <x v="1"/>
    <s v="High_profit"/>
    <x v="0"/>
  </r>
  <r>
    <x v="95"/>
    <n v="3223"/>
    <n v="1009"/>
    <n v="2045"/>
    <n v="7"/>
    <n v="36"/>
    <x v="1"/>
    <x v="0"/>
    <s v="Power Bank"/>
    <x v="2"/>
    <n v="50"/>
    <n v="220"/>
    <n v="350"/>
    <n v="1540"/>
    <n v="1190"/>
    <n v="0.77272727272727271"/>
    <s v="Medium_order"/>
    <x v="1"/>
    <s v="High_profit"/>
    <x v="11"/>
  </r>
  <r>
    <x v="28"/>
    <n v="3224"/>
    <n v="1017"/>
    <n v="2021"/>
    <n v="8"/>
    <n v="28"/>
    <x v="1"/>
    <x v="0"/>
    <s v="Dumbbells"/>
    <x v="3"/>
    <n v="120"/>
    <n v="200"/>
    <n v="960"/>
    <n v="1600"/>
    <n v="640"/>
    <n v="0.4"/>
    <s v="Medium_order"/>
    <x v="2"/>
    <s v="Medium_profit"/>
    <x v="7"/>
  </r>
  <r>
    <x v="162"/>
    <n v="3225"/>
    <n v="1003"/>
    <n v="2024"/>
    <n v="3"/>
    <n v="26"/>
    <x v="0"/>
    <x v="0"/>
    <s v="Mouse"/>
    <x v="0"/>
    <n v="140"/>
    <n v="350"/>
    <n v="420"/>
    <n v="1050"/>
    <n v="630"/>
    <n v="0.6"/>
    <s v="Low_order"/>
    <x v="2"/>
    <s v="High_profit"/>
    <x v="11"/>
  </r>
  <r>
    <x v="6"/>
    <n v="3226"/>
    <n v="1017"/>
    <n v="2041"/>
    <n v="5"/>
    <n v="28"/>
    <x v="1"/>
    <x v="4"/>
    <s v="Dumbbells"/>
    <x v="3"/>
    <n v="120"/>
    <n v="200"/>
    <n v="600"/>
    <n v="1000"/>
    <n v="400"/>
    <n v="0.4"/>
    <s v="Low_order"/>
    <x v="2"/>
    <s v="Medium_profit"/>
    <x v="2"/>
  </r>
  <r>
    <x v="163"/>
    <n v="3227"/>
    <n v="1008"/>
    <n v="2038"/>
    <n v="7"/>
    <n v="22"/>
    <x v="1"/>
    <x v="1"/>
    <s v="USB Cable"/>
    <x v="2"/>
    <n v="340"/>
    <n v="430"/>
    <n v="2380"/>
    <n v="3010"/>
    <n v="630"/>
    <n v="0.20930232558139536"/>
    <s v="High_order"/>
    <x v="2"/>
    <s v="Low_profit"/>
    <x v="11"/>
  </r>
  <r>
    <x v="164"/>
    <n v="3228"/>
    <n v="1010"/>
    <n v="2048"/>
    <n v="9"/>
    <n v="41"/>
    <x v="0"/>
    <x v="5"/>
    <s v="Laptop Sleeve"/>
    <x v="2"/>
    <n v="290"/>
    <n v="470"/>
    <n v="2610"/>
    <n v="4230"/>
    <n v="1620"/>
    <n v="0.38297872340425532"/>
    <s v="High_order"/>
    <x v="0"/>
    <s v="Medium_profit"/>
    <x v="2"/>
  </r>
  <r>
    <x v="45"/>
    <n v="3229"/>
    <n v="1016"/>
    <n v="2032"/>
    <n v="9"/>
    <n v="42"/>
    <x v="1"/>
    <x v="2"/>
    <s v="Yoga Mat"/>
    <x v="3"/>
    <n v="330"/>
    <n v="490"/>
    <n v="2970"/>
    <n v="4410"/>
    <n v="1440"/>
    <n v="0.32653061224489793"/>
    <s v="High_order"/>
    <x v="0"/>
    <s v="Medium_profit"/>
    <x v="4"/>
  </r>
  <r>
    <x v="165"/>
    <n v="3230"/>
    <n v="1008"/>
    <n v="2018"/>
    <n v="1"/>
    <n v="38"/>
    <x v="0"/>
    <x v="4"/>
    <s v="USB Cable"/>
    <x v="2"/>
    <n v="340"/>
    <n v="430"/>
    <n v="340"/>
    <n v="430"/>
    <n v="90"/>
    <n v="0.20930232558139536"/>
    <s v="Low_order"/>
    <x v="1"/>
    <s v="Low_profit"/>
    <x v="1"/>
  </r>
  <r>
    <x v="56"/>
    <n v="3231"/>
    <n v="1013"/>
    <n v="2011"/>
    <n v="8"/>
    <n v="33"/>
    <x v="0"/>
    <x v="3"/>
    <s v="Desk Lamp"/>
    <x v="1"/>
    <n v="140"/>
    <n v="390"/>
    <n v="1120"/>
    <n v="3120"/>
    <n v="2000"/>
    <n v="0.64102564102564108"/>
    <s v="High_order"/>
    <x v="1"/>
    <s v="High_profit"/>
    <x v="10"/>
  </r>
  <r>
    <x v="166"/>
    <n v="3232"/>
    <n v="1015"/>
    <n v="2024"/>
    <n v="10"/>
    <n v="26"/>
    <x v="0"/>
    <x v="0"/>
    <s v="Organizer"/>
    <x v="1"/>
    <n v="70"/>
    <n v="210"/>
    <n v="700"/>
    <n v="2100"/>
    <n v="1400"/>
    <n v="0.66666666666666663"/>
    <s v="Medium_order"/>
    <x v="2"/>
    <s v="High_profit"/>
    <x v="7"/>
  </r>
  <r>
    <x v="117"/>
    <n v="3233"/>
    <n v="1018"/>
    <n v="2027"/>
    <n v="6"/>
    <n v="27"/>
    <x v="0"/>
    <x v="3"/>
    <s v="Resistance Band"/>
    <x v="3"/>
    <n v="310"/>
    <n v="480"/>
    <n v="1860"/>
    <n v="2880"/>
    <n v="1020"/>
    <n v="0.35416666666666669"/>
    <s v="High_order"/>
    <x v="2"/>
    <s v="Medium_profit"/>
    <x v="8"/>
  </r>
  <r>
    <x v="144"/>
    <n v="3234"/>
    <n v="1014"/>
    <n v="2015"/>
    <n v="9"/>
    <n v="40"/>
    <x v="1"/>
    <x v="0"/>
    <s v="Stapler"/>
    <x v="1"/>
    <n v="170"/>
    <n v="280"/>
    <n v="1530"/>
    <n v="2520"/>
    <n v="990"/>
    <n v="0.39285714285714285"/>
    <s v="High_order"/>
    <x v="1"/>
    <s v="Medium_profit"/>
    <x v="5"/>
  </r>
  <r>
    <x v="167"/>
    <n v="3235"/>
    <n v="1007"/>
    <n v="2037"/>
    <n v="10"/>
    <n v="38"/>
    <x v="1"/>
    <x v="3"/>
    <s v="Charger"/>
    <x v="2"/>
    <n v="160"/>
    <n v="230"/>
    <n v="1600"/>
    <n v="2300"/>
    <n v="700"/>
    <n v="0.30434782608695654"/>
    <s v="Medium_order"/>
    <x v="1"/>
    <s v="Low_profit"/>
    <x v="11"/>
  </r>
  <r>
    <x v="168"/>
    <n v="3236"/>
    <n v="1015"/>
    <n v="2034"/>
    <n v="7"/>
    <n v="48"/>
    <x v="0"/>
    <x v="4"/>
    <s v="Organizer"/>
    <x v="1"/>
    <n v="70"/>
    <n v="210"/>
    <n v="490"/>
    <n v="1470"/>
    <n v="980"/>
    <n v="0.66666666666666663"/>
    <s v="Medium_order"/>
    <x v="0"/>
    <s v="High_profit"/>
    <x v="0"/>
  </r>
  <r>
    <x v="169"/>
    <n v="3237"/>
    <n v="1002"/>
    <n v="2004"/>
    <n v="5"/>
    <n v="25"/>
    <x v="1"/>
    <x v="4"/>
    <s v="Keyboard"/>
    <x v="0"/>
    <n v="230"/>
    <n v="400"/>
    <n v="1150"/>
    <n v="2000"/>
    <n v="850"/>
    <n v="0.42499999999999999"/>
    <s v="Medium_order"/>
    <x v="2"/>
    <s v="High_profit"/>
    <x v="6"/>
  </r>
  <r>
    <x v="170"/>
    <n v="3238"/>
    <n v="1013"/>
    <n v="2043"/>
    <n v="4"/>
    <n v="44"/>
    <x v="1"/>
    <x v="0"/>
    <s v="Desk Lamp"/>
    <x v="1"/>
    <n v="140"/>
    <n v="390"/>
    <n v="560"/>
    <n v="1560"/>
    <n v="1000"/>
    <n v="0.64102564102564108"/>
    <s v="Medium_order"/>
    <x v="0"/>
    <s v="High_profit"/>
    <x v="3"/>
  </r>
  <r>
    <x v="171"/>
    <n v="3239"/>
    <n v="1009"/>
    <n v="2013"/>
    <n v="2"/>
    <n v="37"/>
    <x v="1"/>
    <x v="2"/>
    <s v="Power Bank"/>
    <x v="2"/>
    <n v="50"/>
    <n v="220"/>
    <n v="100"/>
    <n v="440"/>
    <n v="340"/>
    <n v="0.77272727272727271"/>
    <s v="Low_order"/>
    <x v="1"/>
    <s v="High_profit"/>
    <x v="3"/>
  </r>
  <r>
    <x v="172"/>
    <n v="3240"/>
    <n v="1010"/>
    <n v="2007"/>
    <n v="1"/>
    <n v="34"/>
    <x v="1"/>
    <x v="1"/>
    <s v="Laptop Sleeve"/>
    <x v="2"/>
    <n v="290"/>
    <n v="470"/>
    <n v="290"/>
    <n v="470"/>
    <n v="180"/>
    <n v="0.38297872340425532"/>
    <s v="Low_order"/>
    <x v="1"/>
    <s v="Medium_profit"/>
    <x v="1"/>
  </r>
  <r>
    <x v="46"/>
    <n v="3241"/>
    <n v="1004"/>
    <n v="2043"/>
    <n v="6"/>
    <n v="44"/>
    <x v="1"/>
    <x v="0"/>
    <s v="Speaker"/>
    <x v="0"/>
    <n v="230"/>
    <n v="440"/>
    <n v="1380"/>
    <n v="2640"/>
    <n v="1260"/>
    <n v="0.47727272727272729"/>
    <s v="High_order"/>
    <x v="0"/>
    <s v="High_profit"/>
    <x v="9"/>
  </r>
  <r>
    <x v="19"/>
    <n v="3242"/>
    <n v="1013"/>
    <n v="2007"/>
    <n v="6"/>
    <n v="34"/>
    <x v="1"/>
    <x v="1"/>
    <s v="Desk Lamp"/>
    <x v="1"/>
    <n v="140"/>
    <n v="390"/>
    <n v="840"/>
    <n v="2340"/>
    <n v="1500"/>
    <n v="0.64102564102564108"/>
    <s v="Medium_order"/>
    <x v="1"/>
    <s v="High_profit"/>
    <x v="1"/>
  </r>
  <r>
    <x v="169"/>
    <n v="3243"/>
    <n v="1014"/>
    <n v="2006"/>
    <n v="6"/>
    <n v="32"/>
    <x v="1"/>
    <x v="2"/>
    <s v="Stapler"/>
    <x v="1"/>
    <n v="170"/>
    <n v="280"/>
    <n v="1020"/>
    <n v="1680"/>
    <n v="660"/>
    <n v="0.39285714285714285"/>
    <s v="Medium_order"/>
    <x v="1"/>
    <s v="Medium_profit"/>
    <x v="6"/>
  </r>
  <r>
    <x v="140"/>
    <n v="3244"/>
    <n v="1005"/>
    <n v="2047"/>
    <n v="6"/>
    <n v="28"/>
    <x v="1"/>
    <x v="3"/>
    <s v="Webcam"/>
    <x v="0"/>
    <n v="340"/>
    <n v="520"/>
    <n v="2040"/>
    <n v="3120"/>
    <n v="1080"/>
    <n v="0.34615384615384615"/>
    <s v="High_order"/>
    <x v="2"/>
    <s v="Medium_profit"/>
    <x v="6"/>
  </r>
  <r>
    <x v="68"/>
    <n v="3245"/>
    <n v="1020"/>
    <n v="2033"/>
    <n v="6"/>
    <n v="43"/>
    <x v="0"/>
    <x v="2"/>
    <s v="Water Bottle"/>
    <x v="3"/>
    <n v="400"/>
    <n v="560"/>
    <n v="2400"/>
    <n v="3360"/>
    <n v="960"/>
    <n v="0.2857142857142857"/>
    <s v="High_order"/>
    <x v="0"/>
    <s v="Low_profit"/>
    <x v="0"/>
  </r>
  <r>
    <x v="120"/>
    <n v="3246"/>
    <n v="1001"/>
    <n v="2022"/>
    <n v="4"/>
    <n v="19"/>
    <x v="1"/>
    <x v="4"/>
    <s v="Headphones"/>
    <x v="0"/>
    <n v="380"/>
    <n v="550"/>
    <n v="1520"/>
    <n v="2200"/>
    <n v="680"/>
    <n v="0.30909090909090908"/>
    <s v="Medium_order"/>
    <x v="2"/>
    <s v="Low_profit"/>
    <x v="4"/>
  </r>
  <r>
    <x v="113"/>
    <n v="3247"/>
    <n v="1019"/>
    <n v="2025"/>
    <n v="7"/>
    <n v="34"/>
    <x v="1"/>
    <x v="0"/>
    <s v="Skipping Rope"/>
    <x v="3"/>
    <n v="140"/>
    <n v="270"/>
    <n v="980"/>
    <n v="1890"/>
    <n v="910"/>
    <n v="0.48148148148148145"/>
    <s v="Medium_order"/>
    <x v="1"/>
    <s v="High_profit"/>
    <x v="5"/>
  </r>
  <r>
    <x v="32"/>
    <n v="3248"/>
    <n v="1015"/>
    <n v="2004"/>
    <n v="10"/>
    <n v="25"/>
    <x v="1"/>
    <x v="4"/>
    <s v="Organizer"/>
    <x v="1"/>
    <n v="70"/>
    <n v="210"/>
    <n v="700"/>
    <n v="2100"/>
    <n v="1400"/>
    <n v="0.66666666666666663"/>
    <s v="Medium_order"/>
    <x v="2"/>
    <s v="High_profit"/>
    <x v="9"/>
  </r>
  <r>
    <x v="173"/>
    <n v="3249"/>
    <n v="1017"/>
    <n v="2022"/>
    <n v="1"/>
    <n v="19"/>
    <x v="1"/>
    <x v="4"/>
    <s v="Dumbbells"/>
    <x v="3"/>
    <n v="120"/>
    <n v="200"/>
    <n v="120"/>
    <n v="200"/>
    <n v="80"/>
    <n v="0.4"/>
    <s v="Low_order"/>
    <x v="2"/>
    <s v="Medium_profit"/>
    <x v="11"/>
  </r>
  <r>
    <x v="174"/>
    <n v="3250"/>
    <n v="1019"/>
    <n v="2040"/>
    <n v="7"/>
    <n v="40"/>
    <x v="1"/>
    <x v="2"/>
    <s v="Skipping Rope"/>
    <x v="3"/>
    <n v="140"/>
    <n v="270"/>
    <n v="980"/>
    <n v="1890"/>
    <n v="910"/>
    <n v="0.48148148148148145"/>
    <s v="Medium_order"/>
    <x v="1"/>
    <s v="High_profit"/>
    <x v="4"/>
  </r>
  <r>
    <x v="101"/>
    <n v="3251"/>
    <n v="1010"/>
    <n v="2024"/>
    <n v="10"/>
    <n v="26"/>
    <x v="0"/>
    <x v="0"/>
    <s v="Laptop Sleeve"/>
    <x v="2"/>
    <n v="290"/>
    <n v="470"/>
    <n v="2900"/>
    <n v="4700"/>
    <n v="1800"/>
    <n v="0.38297872340425532"/>
    <s v="High_order"/>
    <x v="2"/>
    <s v="Medium_profit"/>
    <x v="5"/>
  </r>
  <r>
    <x v="175"/>
    <n v="3252"/>
    <n v="1003"/>
    <n v="2031"/>
    <n v="2"/>
    <n v="38"/>
    <x v="1"/>
    <x v="1"/>
    <s v="Mouse"/>
    <x v="0"/>
    <n v="140"/>
    <n v="350"/>
    <n v="280"/>
    <n v="700"/>
    <n v="420"/>
    <n v="0.6"/>
    <s v="Low_order"/>
    <x v="1"/>
    <s v="High_profit"/>
    <x v="11"/>
  </r>
  <r>
    <x v="125"/>
    <n v="3253"/>
    <n v="1016"/>
    <n v="2013"/>
    <n v="9"/>
    <n v="37"/>
    <x v="1"/>
    <x v="2"/>
    <s v="Yoga Mat"/>
    <x v="3"/>
    <n v="330"/>
    <n v="490"/>
    <n v="2970"/>
    <n v="4410"/>
    <n v="1440"/>
    <n v="0.32653061224489793"/>
    <s v="High_order"/>
    <x v="1"/>
    <s v="Medium_profit"/>
    <x v="8"/>
  </r>
  <r>
    <x v="65"/>
    <n v="3254"/>
    <n v="1002"/>
    <n v="2020"/>
    <n v="6"/>
    <n v="27"/>
    <x v="1"/>
    <x v="3"/>
    <s v="Keyboard"/>
    <x v="0"/>
    <n v="230"/>
    <n v="400"/>
    <n v="1380"/>
    <n v="2400"/>
    <n v="1020"/>
    <n v="0.42499999999999999"/>
    <s v="Medium_order"/>
    <x v="2"/>
    <s v="High_profit"/>
    <x v="9"/>
  </r>
  <r>
    <x v="176"/>
    <n v="3255"/>
    <n v="1020"/>
    <n v="2035"/>
    <n v="2"/>
    <n v="37"/>
    <x v="0"/>
    <x v="0"/>
    <s v="Water Bottle"/>
    <x v="3"/>
    <n v="400"/>
    <n v="560"/>
    <n v="800"/>
    <n v="1120"/>
    <n v="320"/>
    <n v="0.2857142857142857"/>
    <s v="Low_order"/>
    <x v="1"/>
    <s v="Low_profit"/>
    <x v="9"/>
  </r>
  <r>
    <x v="168"/>
    <n v="3256"/>
    <n v="1016"/>
    <n v="2001"/>
    <n v="9"/>
    <n v="44"/>
    <x v="1"/>
    <x v="0"/>
    <s v="Yoga Mat"/>
    <x v="3"/>
    <n v="330"/>
    <n v="490"/>
    <n v="2970"/>
    <n v="4410"/>
    <n v="1440"/>
    <n v="0.32653061224489793"/>
    <s v="High_order"/>
    <x v="0"/>
    <s v="Medium_profit"/>
    <x v="0"/>
  </r>
  <r>
    <x v="177"/>
    <n v="3257"/>
    <n v="1015"/>
    <n v="2016"/>
    <n v="4"/>
    <n v="29"/>
    <x v="0"/>
    <x v="3"/>
    <s v="Organizer"/>
    <x v="1"/>
    <n v="70"/>
    <n v="210"/>
    <n v="280"/>
    <n v="840"/>
    <n v="560"/>
    <n v="0.66666666666666663"/>
    <s v="Low_order"/>
    <x v="2"/>
    <s v="High_profit"/>
    <x v="6"/>
  </r>
  <r>
    <x v="178"/>
    <n v="3258"/>
    <n v="1009"/>
    <n v="2008"/>
    <n v="10"/>
    <n v="36"/>
    <x v="1"/>
    <x v="5"/>
    <s v="Power Bank"/>
    <x v="2"/>
    <n v="50"/>
    <n v="220"/>
    <n v="500"/>
    <n v="2200"/>
    <n v="1700"/>
    <n v="0.77272727272727271"/>
    <s v="Medium_order"/>
    <x v="1"/>
    <s v="High_profit"/>
    <x v="2"/>
  </r>
  <r>
    <x v="179"/>
    <n v="3259"/>
    <n v="1015"/>
    <n v="2026"/>
    <n v="7"/>
    <n v="27"/>
    <x v="0"/>
    <x v="5"/>
    <s v="Organizer"/>
    <x v="1"/>
    <n v="70"/>
    <n v="210"/>
    <n v="490"/>
    <n v="1470"/>
    <n v="980"/>
    <n v="0.66666666666666663"/>
    <s v="Medium_order"/>
    <x v="2"/>
    <s v="High_profit"/>
    <x v="3"/>
  </r>
  <r>
    <x v="180"/>
    <n v="3260"/>
    <n v="1019"/>
    <n v="2017"/>
    <n v="9"/>
    <n v="32"/>
    <x v="1"/>
    <x v="0"/>
    <s v="Skipping Rope"/>
    <x v="3"/>
    <n v="140"/>
    <n v="270"/>
    <n v="1260"/>
    <n v="2430"/>
    <n v="1170"/>
    <n v="0.48148148148148145"/>
    <s v="High_order"/>
    <x v="1"/>
    <s v="High_profit"/>
    <x v="7"/>
  </r>
  <r>
    <x v="181"/>
    <n v="3261"/>
    <n v="1016"/>
    <n v="2040"/>
    <n v="5"/>
    <n v="40"/>
    <x v="1"/>
    <x v="2"/>
    <s v="Yoga Mat"/>
    <x v="3"/>
    <n v="330"/>
    <n v="490"/>
    <n v="1650"/>
    <n v="2450"/>
    <n v="800"/>
    <n v="0.32653061224489793"/>
    <s v="High_order"/>
    <x v="1"/>
    <s v="Medium_profit"/>
    <x v="1"/>
  </r>
  <r>
    <x v="84"/>
    <n v="3262"/>
    <n v="1016"/>
    <n v="2004"/>
    <n v="1"/>
    <n v="25"/>
    <x v="1"/>
    <x v="4"/>
    <s v="Yoga Mat"/>
    <x v="3"/>
    <n v="330"/>
    <n v="490"/>
    <n v="330"/>
    <n v="490"/>
    <n v="160"/>
    <n v="0.32653061224489793"/>
    <s v="Low_order"/>
    <x v="2"/>
    <s v="Medium_profit"/>
    <x v="8"/>
  </r>
  <r>
    <x v="182"/>
    <n v="3263"/>
    <n v="1020"/>
    <n v="2007"/>
    <n v="4"/>
    <n v="34"/>
    <x v="1"/>
    <x v="1"/>
    <s v="Water Bottle"/>
    <x v="3"/>
    <n v="400"/>
    <n v="560"/>
    <n v="1600"/>
    <n v="2240"/>
    <n v="640"/>
    <n v="0.2857142857142857"/>
    <s v="Medium_order"/>
    <x v="1"/>
    <s v="Low_profit"/>
    <x v="2"/>
  </r>
  <r>
    <x v="183"/>
    <n v="3264"/>
    <n v="1010"/>
    <n v="2017"/>
    <n v="6"/>
    <n v="32"/>
    <x v="1"/>
    <x v="0"/>
    <s v="Laptop Sleeve"/>
    <x v="2"/>
    <n v="290"/>
    <n v="470"/>
    <n v="1740"/>
    <n v="2820"/>
    <n v="1080"/>
    <n v="0.38297872340425532"/>
    <s v="High_order"/>
    <x v="1"/>
    <s v="Medium_profit"/>
    <x v="7"/>
  </r>
  <r>
    <x v="126"/>
    <n v="3265"/>
    <n v="1016"/>
    <n v="2025"/>
    <n v="8"/>
    <n v="34"/>
    <x v="1"/>
    <x v="0"/>
    <s v="Yoga Mat"/>
    <x v="3"/>
    <n v="330"/>
    <n v="490"/>
    <n v="2640"/>
    <n v="3920"/>
    <n v="1280"/>
    <n v="0.32653061224489793"/>
    <s v="High_order"/>
    <x v="1"/>
    <s v="Medium_profit"/>
    <x v="6"/>
  </r>
  <r>
    <x v="15"/>
    <n v="3266"/>
    <n v="1015"/>
    <n v="2017"/>
    <n v="2"/>
    <n v="32"/>
    <x v="1"/>
    <x v="0"/>
    <s v="Organizer"/>
    <x v="1"/>
    <n v="70"/>
    <n v="210"/>
    <n v="140"/>
    <n v="420"/>
    <n v="280"/>
    <n v="0.66666666666666663"/>
    <s v="Low_order"/>
    <x v="1"/>
    <s v="High_profit"/>
    <x v="6"/>
  </r>
  <r>
    <x v="184"/>
    <n v="3267"/>
    <n v="1019"/>
    <n v="2020"/>
    <n v="10"/>
    <n v="27"/>
    <x v="1"/>
    <x v="3"/>
    <s v="Skipping Rope"/>
    <x v="3"/>
    <n v="140"/>
    <n v="270"/>
    <n v="1400"/>
    <n v="2700"/>
    <n v="1300"/>
    <n v="0.48148148148148145"/>
    <s v="High_order"/>
    <x v="2"/>
    <s v="High_profit"/>
    <x v="6"/>
  </r>
  <r>
    <x v="185"/>
    <n v="3268"/>
    <n v="1018"/>
    <n v="2047"/>
    <n v="9"/>
    <n v="28"/>
    <x v="1"/>
    <x v="3"/>
    <s v="Resistance Band"/>
    <x v="3"/>
    <n v="310"/>
    <n v="480"/>
    <n v="2790"/>
    <n v="4320"/>
    <n v="1530"/>
    <n v="0.35416666666666669"/>
    <s v="High_order"/>
    <x v="2"/>
    <s v="Medium_profit"/>
    <x v="6"/>
  </r>
  <r>
    <x v="78"/>
    <n v="3269"/>
    <n v="1008"/>
    <n v="2006"/>
    <n v="5"/>
    <n v="32"/>
    <x v="1"/>
    <x v="2"/>
    <s v="USB Cable"/>
    <x v="2"/>
    <n v="340"/>
    <n v="430"/>
    <n v="1700"/>
    <n v="2150"/>
    <n v="450"/>
    <n v="0.20930232558139536"/>
    <s v="Medium_order"/>
    <x v="1"/>
    <s v="Low_profit"/>
    <x v="3"/>
  </r>
  <r>
    <x v="50"/>
    <n v="3270"/>
    <n v="1019"/>
    <n v="2012"/>
    <n v="7"/>
    <n v="21"/>
    <x v="0"/>
    <x v="2"/>
    <s v="Skipping Rope"/>
    <x v="3"/>
    <n v="140"/>
    <n v="270"/>
    <n v="980"/>
    <n v="1890"/>
    <n v="910"/>
    <n v="0.48148148148148145"/>
    <s v="Medium_order"/>
    <x v="2"/>
    <s v="High_profit"/>
    <x v="4"/>
  </r>
  <r>
    <x v="186"/>
    <n v="3271"/>
    <n v="1004"/>
    <n v="2017"/>
    <n v="7"/>
    <n v="32"/>
    <x v="1"/>
    <x v="0"/>
    <s v="Speaker"/>
    <x v="0"/>
    <n v="230"/>
    <n v="440"/>
    <n v="1610"/>
    <n v="3080"/>
    <n v="1470"/>
    <n v="0.47727272727272729"/>
    <s v="High_order"/>
    <x v="1"/>
    <s v="High_profit"/>
    <x v="0"/>
  </r>
  <r>
    <x v="187"/>
    <n v="3272"/>
    <n v="1018"/>
    <n v="2021"/>
    <n v="5"/>
    <n v="28"/>
    <x v="1"/>
    <x v="0"/>
    <s v="Resistance Band"/>
    <x v="3"/>
    <n v="310"/>
    <n v="480"/>
    <n v="1550"/>
    <n v="2400"/>
    <n v="850"/>
    <n v="0.35416666666666669"/>
    <s v="Medium_order"/>
    <x v="2"/>
    <s v="Medium_profit"/>
    <x v="8"/>
  </r>
  <r>
    <x v="153"/>
    <n v="3273"/>
    <n v="1013"/>
    <n v="2003"/>
    <n v="7"/>
    <n v="23"/>
    <x v="0"/>
    <x v="1"/>
    <s v="Desk Lamp"/>
    <x v="1"/>
    <n v="140"/>
    <n v="390"/>
    <n v="980"/>
    <n v="2730"/>
    <n v="1750"/>
    <n v="0.64102564102564108"/>
    <s v="High_order"/>
    <x v="2"/>
    <s v="High_profit"/>
    <x v="8"/>
  </r>
  <r>
    <x v="48"/>
    <n v="3274"/>
    <n v="1014"/>
    <n v="2040"/>
    <n v="2"/>
    <n v="40"/>
    <x v="1"/>
    <x v="2"/>
    <s v="Stapler"/>
    <x v="1"/>
    <n v="170"/>
    <n v="280"/>
    <n v="340"/>
    <n v="560"/>
    <n v="220"/>
    <n v="0.39285714285714285"/>
    <s v="Low_order"/>
    <x v="1"/>
    <s v="Medium_profit"/>
    <x v="0"/>
  </r>
  <r>
    <x v="18"/>
    <n v="3275"/>
    <n v="1008"/>
    <n v="2020"/>
    <n v="6"/>
    <n v="27"/>
    <x v="1"/>
    <x v="3"/>
    <s v="USB Cable"/>
    <x v="2"/>
    <n v="340"/>
    <n v="430"/>
    <n v="2040"/>
    <n v="2580"/>
    <n v="540"/>
    <n v="0.20930232558139536"/>
    <s v="High_order"/>
    <x v="2"/>
    <s v="Low_profit"/>
    <x v="6"/>
  </r>
  <r>
    <x v="3"/>
    <n v="3276"/>
    <n v="1008"/>
    <n v="2003"/>
    <n v="4"/>
    <n v="23"/>
    <x v="0"/>
    <x v="1"/>
    <s v="USB Cable"/>
    <x v="2"/>
    <n v="340"/>
    <n v="430"/>
    <n v="1360"/>
    <n v="1720"/>
    <n v="360"/>
    <n v="0.20930232558139536"/>
    <s v="Medium_order"/>
    <x v="2"/>
    <s v="Low_profit"/>
    <x v="2"/>
  </r>
  <r>
    <x v="72"/>
    <n v="3277"/>
    <n v="1003"/>
    <n v="2034"/>
    <n v="1"/>
    <n v="48"/>
    <x v="0"/>
    <x v="4"/>
    <s v="Mouse"/>
    <x v="0"/>
    <n v="140"/>
    <n v="350"/>
    <n v="140"/>
    <n v="350"/>
    <n v="210"/>
    <n v="0.6"/>
    <s v="Low_order"/>
    <x v="0"/>
    <s v="High_profit"/>
    <x v="0"/>
  </r>
  <r>
    <x v="111"/>
    <n v="3278"/>
    <n v="1009"/>
    <n v="2016"/>
    <n v="4"/>
    <n v="29"/>
    <x v="0"/>
    <x v="3"/>
    <s v="Power Bank"/>
    <x v="2"/>
    <n v="50"/>
    <n v="220"/>
    <n v="200"/>
    <n v="880"/>
    <n v="680"/>
    <n v="0.77272727272727271"/>
    <s v="Low_order"/>
    <x v="2"/>
    <s v="High_profit"/>
    <x v="4"/>
  </r>
  <r>
    <x v="100"/>
    <n v="3279"/>
    <n v="1001"/>
    <n v="2034"/>
    <n v="7"/>
    <n v="48"/>
    <x v="0"/>
    <x v="4"/>
    <s v="Headphones"/>
    <x v="0"/>
    <n v="380"/>
    <n v="550"/>
    <n v="2660"/>
    <n v="3850"/>
    <n v="1190"/>
    <n v="0.30909090909090908"/>
    <s v="High_order"/>
    <x v="0"/>
    <s v="Low_profit"/>
    <x v="10"/>
  </r>
  <r>
    <x v="178"/>
    <n v="3280"/>
    <n v="1005"/>
    <n v="2048"/>
    <n v="9"/>
    <n v="41"/>
    <x v="0"/>
    <x v="5"/>
    <s v="Webcam"/>
    <x v="0"/>
    <n v="340"/>
    <n v="520"/>
    <n v="3060"/>
    <n v="4680"/>
    <n v="1620"/>
    <n v="0.34615384615384615"/>
    <s v="High_order"/>
    <x v="0"/>
    <s v="Medium_profit"/>
    <x v="2"/>
  </r>
  <r>
    <x v="188"/>
    <n v="3281"/>
    <n v="1011"/>
    <n v="2032"/>
    <n v="1"/>
    <n v="42"/>
    <x v="1"/>
    <x v="2"/>
    <s v="Notebook"/>
    <x v="1"/>
    <n v="120"/>
    <n v="180"/>
    <n v="120"/>
    <n v="180"/>
    <n v="60"/>
    <n v="0.33333333333333331"/>
    <s v="Low_order"/>
    <x v="0"/>
    <s v="Medium_profit"/>
    <x v="2"/>
  </r>
  <r>
    <x v="30"/>
    <n v="3282"/>
    <n v="1011"/>
    <n v="2048"/>
    <n v="2"/>
    <n v="41"/>
    <x v="0"/>
    <x v="5"/>
    <s v="Notebook"/>
    <x v="1"/>
    <n v="120"/>
    <n v="180"/>
    <n v="240"/>
    <n v="360"/>
    <n v="120"/>
    <n v="0.33333333333333331"/>
    <s v="Low_order"/>
    <x v="0"/>
    <s v="Medium_profit"/>
    <x v="5"/>
  </r>
  <r>
    <x v="136"/>
    <n v="3283"/>
    <n v="1018"/>
    <n v="2021"/>
    <n v="8"/>
    <n v="28"/>
    <x v="1"/>
    <x v="0"/>
    <s v="Resistance Band"/>
    <x v="3"/>
    <n v="310"/>
    <n v="480"/>
    <n v="2480"/>
    <n v="3840"/>
    <n v="1360"/>
    <n v="0.35416666666666669"/>
    <s v="High_order"/>
    <x v="2"/>
    <s v="Medium_profit"/>
    <x v="9"/>
  </r>
  <r>
    <x v="90"/>
    <n v="3284"/>
    <n v="1019"/>
    <n v="2037"/>
    <n v="5"/>
    <n v="38"/>
    <x v="1"/>
    <x v="3"/>
    <s v="Skipping Rope"/>
    <x v="3"/>
    <n v="140"/>
    <n v="270"/>
    <n v="700"/>
    <n v="1350"/>
    <n v="650"/>
    <n v="0.48148148148148145"/>
    <s v="Medium_order"/>
    <x v="1"/>
    <s v="High_profit"/>
    <x v="1"/>
  </r>
  <r>
    <x v="189"/>
    <n v="3285"/>
    <n v="1002"/>
    <n v="2014"/>
    <n v="2"/>
    <n v="58"/>
    <x v="0"/>
    <x v="3"/>
    <s v="Keyboard"/>
    <x v="0"/>
    <n v="230"/>
    <n v="400"/>
    <n v="460"/>
    <n v="800"/>
    <n v="340"/>
    <n v="0.42499999999999999"/>
    <s v="Low_order"/>
    <x v="0"/>
    <s v="High_profit"/>
    <x v="11"/>
  </r>
  <r>
    <x v="190"/>
    <n v="3286"/>
    <n v="1018"/>
    <n v="2028"/>
    <n v="9"/>
    <n v="43"/>
    <x v="1"/>
    <x v="5"/>
    <s v="Resistance Band"/>
    <x v="3"/>
    <n v="310"/>
    <n v="480"/>
    <n v="2790"/>
    <n v="4320"/>
    <n v="1530"/>
    <n v="0.35416666666666669"/>
    <s v="High_order"/>
    <x v="0"/>
    <s v="Medium_profit"/>
    <x v="10"/>
  </r>
  <r>
    <x v="156"/>
    <n v="3287"/>
    <n v="1007"/>
    <n v="2007"/>
    <n v="1"/>
    <n v="34"/>
    <x v="1"/>
    <x v="1"/>
    <s v="Charger"/>
    <x v="2"/>
    <n v="160"/>
    <n v="230"/>
    <n v="160"/>
    <n v="230"/>
    <n v="70"/>
    <n v="0.30434782608695654"/>
    <s v="Low_order"/>
    <x v="1"/>
    <s v="Low_profit"/>
    <x v="5"/>
  </r>
  <r>
    <x v="176"/>
    <n v="3288"/>
    <n v="1011"/>
    <n v="2040"/>
    <n v="3"/>
    <n v="40"/>
    <x v="1"/>
    <x v="2"/>
    <s v="Notebook"/>
    <x v="1"/>
    <n v="120"/>
    <n v="180"/>
    <n v="360"/>
    <n v="540"/>
    <n v="180"/>
    <n v="0.33333333333333331"/>
    <s v="Low_order"/>
    <x v="1"/>
    <s v="Medium_profit"/>
    <x v="9"/>
  </r>
  <r>
    <x v="48"/>
    <n v="3289"/>
    <n v="1014"/>
    <n v="2047"/>
    <n v="7"/>
    <n v="28"/>
    <x v="1"/>
    <x v="3"/>
    <s v="Stapler"/>
    <x v="1"/>
    <n v="170"/>
    <n v="280"/>
    <n v="1190"/>
    <n v="1960"/>
    <n v="770"/>
    <n v="0.39285714285714285"/>
    <s v="Medium_order"/>
    <x v="2"/>
    <s v="Medium_profit"/>
    <x v="0"/>
  </r>
  <r>
    <x v="191"/>
    <n v="3290"/>
    <n v="1019"/>
    <n v="2023"/>
    <n v="1"/>
    <n v="41"/>
    <x v="1"/>
    <x v="0"/>
    <s v="Skipping Rope"/>
    <x v="3"/>
    <n v="140"/>
    <n v="270"/>
    <n v="140"/>
    <n v="270"/>
    <n v="130"/>
    <n v="0.48148148148148145"/>
    <s v="Low_order"/>
    <x v="0"/>
    <s v="High_profit"/>
    <x v="7"/>
  </r>
  <r>
    <x v="13"/>
    <n v="3291"/>
    <n v="1005"/>
    <n v="2006"/>
    <n v="7"/>
    <n v="32"/>
    <x v="1"/>
    <x v="2"/>
    <s v="Webcam"/>
    <x v="0"/>
    <n v="340"/>
    <n v="520"/>
    <n v="2380"/>
    <n v="3640"/>
    <n v="1260"/>
    <n v="0.34615384615384615"/>
    <s v="High_order"/>
    <x v="1"/>
    <s v="Medium_profit"/>
    <x v="5"/>
  </r>
  <r>
    <x v="192"/>
    <n v="3292"/>
    <n v="1011"/>
    <n v="2043"/>
    <n v="10"/>
    <n v="44"/>
    <x v="1"/>
    <x v="0"/>
    <s v="Notebook"/>
    <x v="1"/>
    <n v="120"/>
    <n v="180"/>
    <n v="1200"/>
    <n v="1800"/>
    <n v="600"/>
    <n v="0.33333333333333331"/>
    <s v="Medium_order"/>
    <x v="0"/>
    <s v="Medium_profit"/>
    <x v="0"/>
  </r>
  <r>
    <x v="193"/>
    <n v="3293"/>
    <n v="1002"/>
    <n v="2005"/>
    <n v="1"/>
    <n v="56"/>
    <x v="0"/>
    <x v="2"/>
    <s v="Keyboard"/>
    <x v="0"/>
    <n v="230"/>
    <n v="400"/>
    <n v="230"/>
    <n v="400"/>
    <n v="170"/>
    <n v="0.42499999999999999"/>
    <s v="Low_order"/>
    <x v="0"/>
    <s v="High_profit"/>
    <x v="0"/>
  </r>
  <r>
    <x v="194"/>
    <n v="3294"/>
    <n v="1002"/>
    <n v="2006"/>
    <n v="9"/>
    <n v="32"/>
    <x v="1"/>
    <x v="2"/>
    <s v="Keyboard"/>
    <x v="0"/>
    <n v="230"/>
    <n v="400"/>
    <n v="2070"/>
    <n v="3600"/>
    <n v="1530"/>
    <n v="0.42499999999999999"/>
    <s v="High_order"/>
    <x v="1"/>
    <s v="High_profit"/>
    <x v="0"/>
  </r>
  <r>
    <x v="173"/>
    <n v="3295"/>
    <n v="1007"/>
    <n v="2036"/>
    <n v="8"/>
    <n v="30"/>
    <x v="1"/>
    <x v="0"/>
    <s v="Charger"/>
    <x v="2"/>
    <n v="160"/>
    <n v="230"/>
    <n v="1280"/>
    <n v="1840"/>
    <n v="560"/>
    <n v="0.30434782608695654"/>
    <s v="Medium_order"/>
    <x v="2"/>
    <s v="Low_profit"/>
    <x v="11"/>
  </r>
  <r>
    <x v="195"/>
    <n v="3296"/>
    <n v="1015"/>
    <n v="2031"/>
    <n v="7"/>
    <n v="38"/>
    <x v="1"/>
    <x v="1"/>
    <s v="Organizer"/>
    <x v="1"/>
    <n v="70"/>
    <n v="210"/>
    <n v="490"/>
    <n v="1470"/>
    <n v="980"/>
    <n v="0.66666666666666663"/>
    <s v="Medium_order"/>
    <x v="1"/>
    <s v="High_profit"/>
    <x v="8"/>
  </r>
  <r>
    <x v="189"/>
    <n v="3297"/>
    <n v="1008"/>
    <n v="2008"/>
    <n v="9"/>
    <n v="36"/>
    <x v="1"/>
    <x v="5"/>
    <s v="USB Cable"/>
    <x v="2"/>
    <n v="340"/>
    <n v="430"/>
    <n v="3060"/>
    <n v="3870"/>
    <n v="810"/>
    <n v="0.20930232558139536"/>
    <s v="High_order"/>
    <x v="1"/>
    <s v="Low_profit"/>
    <x v="11"/>
  </r>
  <r>
    <x v="68"/>
    <n v="3298"/>
    <n v="1004"/>
    <n v="2021"/>
    <n v="2"/>
    <n v="28"/>
    <x v="1"/>
    <x v="0"/>
    <s v="Speaker"/>
    <x v="0"/>
    <n v="230"/>
    <n v="440"/>
    <n v="460"/>
    <n v="880"/>
    <n v="420"/>
    <n v="0.47727272727272729"/>
    <s v="Low_order"/>
    <x v="2"/>
    <s v="High_profit"/>
    <x v="0"/>
  </r>
  <r>
    <x v="114"/>
    <n v="3299"/>
    <n v="1004"/>
    <n v="2018"/>
    <n v="10"/>
    <n v="38"/>
    <x v="0"/>
    <x v="4"/>
    <s v="Speaker"/>
    <x v="0"/>
    <n v="230"/>
    <n v="440"/>
    <n v="2300"/>
    <n v="4400"/>
    <n v="2100"/>
    <n v="0.47727272727272729"/>
    <s v="High_order"/>
    <x v="1"/>
    <s v="High_profit"/>
    <x v="10"/>
  </r>
  <r>
    <x v="73"/>
    <n v="3300"/>
    <n v="1002"/>
    <n v="2033"/>
    <n v="9"/>
    <n v="43"/>
    <x v="0"/>
    <x v="2"/>
    <s v="Keyboard"/>
    <x v="0"/>
    <n v="230"/>
    <n v="400"/>
    <n v="2070"/>
    <n v="3600"/>
    <n v="1530"/>
    <n v="0.42499999999999999"/>
    <s v="High_order"/>
    <x v="0"/>
    <s v="High_profit"/>
    <x v="7"/>
  </r>
  <r>
    <x v="196"/>
    <n v="3301"/>
    <n v="1001"/>
    <n v="2031"/>
    <n v="9"/>
    <n v="38"/>
    <x v="1"/>
    <x v="1"/>
    <s v="Headphones"/>
    <x v="0"/>
    <n v="380"/>
    <n v="550"/>
    <n v="3420"/>
    <n v="4950"/>
    <n v="1530"/>
    <n v="0.30909090909090908"/>
    <s v="High_order"/>
    <x v="1"/>
    <s v="Low_profit"/>
    <x v="5"/>
  </r>
  <r>
    <x v="94"/>
    <n v="3302"/>
    <n v="1010"/>
    <n v="2041"/>
    <n v="1"/>
    <n v="28"/>
    <x v="1"/>
    <x v="4"/>
    <s v="Laptop Sleeve"/>
    <x v="2"/>
    <n v="290"/>
    <n v="470"/>
    <n v="290"/>
    <n v="470"/>
    <n v="180"/>
    <n v="0.38297872340425532"/>
    <s v="Low_order"/>
    <x v="2"/>
    <s v="Medium_profit"/>
    <x v="0"/>
  </r>
  <r>
    <x v="182"/>
    <n v="3303"/>
    <n v="1006"/>
    <n v="2023"/>
    <n v="4"/>
    <n v="41"/>
    <x v="1"/>
    <x v="0"/>
    <s v="Phone Case"/>
    <x v="2"/>
    <n v="320"/>
    <n v="430"/>
    <n v="1280"/>
    <n v="1720"/>
    <n v="440"/>
    <n v="0.2558139534883721"/>
    <s v="Medium_order"/>
    <x v="0"/>
    <s v="Low_profit"/>
    <x v="2"/>
  </r>
  <r>
    <x v="197"/>
    <n v="3304"/>
    <n v="1020"/>
    <n v="2019"/>
    <n v="3"/>
    <n v="57"/>
    <x v="1"/>
    <x v="3"/>
    <s v="Water Bottle"/>
    <x v="3"/>
    <n v="400"/>
    <n v="560"/>
    <n v="1200"/>
    <n v="1680"/>
    <n v="480"/>
    <n v="0.2857142857142857"/>
    <s v="Medium_order"/>
    <x v="0"/>
    <s v="Low_profit"/>
    <x v="8"/>
  </r>
  <r>
    <x v="198"/>
    <n v="3305"/>
    <n v="1011"/>
    <n v="2027"/>
    <n v="6"/>
    <n v="27"/>
    <x v="0"/>
    <x v="3"/>
    <s v="Notebook"/>
    <x v="1"/>
    <n v="120"/>
    <n v="180"/>
    <n v="720"/>
    <n v="1080"/>
    <n v="360"/>
    <n v="0.33333333333333331"/>
    <s v="Low_order"/>
    <x v="2"/>
    <s v="Medium_profit"/>
    <x v="11"/>
  </r>
  <r>
    <x v="13"/>
    <n v="3306"/>
    <n v="1010"/>
    <n v="2046"/>
    <n v="6"/>
    <n v="52"/>
    <x v="1"/>
    <x v="4"/>
    <s v="Laptop Sleeve"/>
    <x v="2"/>
    <n v="290"/>
    <n v="470"/>
    <n v="1740"/>
    <n v="2820"/>
    <n v="1080"/>
    <n v="0.38297872340425532"/>
    <s v="High_order"/>
    <x v="0"/>
    <s v="Medium_profit"/>
    <x v="5"/>
  </r>
  <r>
    <x v="199"/>
    <n v="3307"/>
    <n v="1009"/>
    <n v="2009"/>
    <n v="5"/>
    <n v="57"/>
    <x v="0"/>
    <x v="4"/>
    <s v="Power Bank"/>
    <x v="2"/>
    <n v="50"/>
    <n v="220"/>
    <n v="250"/>
    <n v="1100"/>
    <n v="850"/>
    <n v="0.77272727272727271"/>
    <s v="Low_order"/>
    <x v="0"/>
    <s v="High_profit"/>
    <x v="2"/>
  </r>
  <r>
    <x v="200"/>
    <n v="3308"/>
    <n v="1007"/>
    <n v="2037"/>
    <n v="6"/>
    <n v="38"/>
    <x v="1"/>
    <x v="3"/>
    <s v="Charger"/>
    <x v="2"/>
    <n v="160"/>
    <n v="230"/>
    <n v="960"/>
    <n v="1380"/>
    <n v="420"/>
    <n v="0.30434782608695654"/>
    <s v="Medium_order"/>
    <x v="1"/>
    <s v="Low_profit"/>
    <x v="2"/>
  </r>
  <r>
    <x v="57"/>
    <n v="3309"/>
    <n v="1001"/>
    <n v="2005"/>
    <n v="1"/>
    <n v="56"/>
    <x v="0"/>
    <x v="2"/>
    <s v="Headphones"/>
    <x v="0"/>
    <n v="380"/>
    <n v="550"/>
    <n v="380"/>
    <n v="550"/>
    <n v="170"/>
    <n v="0.30909090909090908"/>
    <s v="Low_order"/>
    <x v="0"/>
    <s v="Low_profit"/>
    <x v="4"/>
  </r>
  <r>
    <x v="75"/>
    <n v="3310"/>
    <n v="1006"/>
    <n v="2018"/>
    <n v="7"/>
    <n v="38"/>
    <x v="0"/>
    <x v="4"/>
    <s v="Phone Case"/>
    <x v="2"/>
    <n v="320"/>
    <n v="430"/>
    <n v="2240"/>
    <n v="3010"/>
    <n v="770"/>
    <n v="0.2558139534883721"/>
    <s v="High_order"/>
    <x v="1"/>
    <s v="Low_profit"/>
    <x v="0"/>
  </r>
  <r>
    <x v="45"/>
    <n v="3311"/>
    <n v="1006"/>
    <n v="2048"/>
    <n v="5"/>
    <n v="41"/>
    <x v="0"/>
    <x v="5"/>
    <s v="Phone Case"/>
    <x v="2"/>
    <n v="320"/>
    <n v="430"/>
    <n v="1600"/>
    <n v="2150"/>
    <n v="550"/>
    <n v="0.2558139534883721"/>
    <s v="Medium_order"/>
    <x v="0"/>
    <s v="Low_profit"/>
    <x v="4"/>
  </r>
  <r>
    <x v="201"/>
    <n v="3312"/>
    <n v="1014"/>
    <n v="2017"/>
    <n v="6"/>
    <n v="32"/>
    <x v="1"/>
    <x v="0"/>
    <s v="Stapler"/>
    <x v="1"/>
    <n v="170"/>
    <n v="280"/>
    <n v="1020"/>
    <n v="1680"/>
    <n v="660"/>
    <n v="0.39285714285714285"/>
    <s v="Medium_order"/>
    <x v="1"/>
    <s v="Medium_profit"/>
    <x v="7"/>
  </r>
  <r>
    <x v="77"/>
    <n v="3313"/>
    <n v="1007"/>
    <n v="2011"/>
    <n v="2"/>
    <n v="33"/>
    <x v="0"/>
    <x v="3"/>
    <s v="Charger"/>
    <x v="2"/>
    <n v="160"/>
    <n v="230"/>
    <n v="320"/>
    <n v="460"/>
    <n v="140"/>
    <n v="0.30434782608695654"/>
    <s v="Low_order"/>
    <x v="1"/>
    <s v="Low_profit"/>
    <x v="9"/>
  </r>
  <r>
    <x v="177"/>
    <n v="3314"/>
    <n v="1006"/>
    <n v="2047"/>
    <n v="3"/>
    <n v="28"/>
    <x v="1"/>
    <x v="3"/>
    <s v="Phone Case"/>
    <x v="2"/>
    <n v="320"/>
    <n v="430"/>
    <n v="960"/>
    <n v="1290"/>
    <n v="330"/>
    <n v="0.2558139534883721"/>
    <s v="Medium_order"/>
    <x v="2"/>
    <s v="Low_profit"/>
    <x v="6"/>
  </r>
  <r>
    <x v="198"/>
    <n v="3315"/>
    <n v="1014"/>
    <n v="2030"/>
    <n v="4"/>
    <n v="46"/>
    <x v="0"/>
    <x v="1"/>
    <s v="Stapler"/>
    <x v="1"/>
    <n v="170"/>
    <n v="280"/>
    <n v="680"/>
    <n v="1120"/>
    <n v="440"/>
    <n v="0.39285714285714285"/>
    <s v="Low_order"/>
    <x v="0"/>
    <s v="Medium_profit"/>
    <x v="11"/>
  </r>
  <r>
    <x v="57"/>
    <n v="3316"/>
    <n v="1011"/>
    <n v="2037"/>
    <n v="6"/>
    <n v="38"/>
    <x v="1"/>
    <x v="3"/>
    <s v="Notebook"/>
    <x v="1"/>
    <n v="120"/>
    <n v="180"/>
    <n v="720"/>
    <n v="1080"/>
    <n v="360"/>
    <n v="0.33333333333333331"/>
    <s v="Low_order"/>
    <x v="1"/>
    <s v="Medium_profit"/>
    <x v="4"/>
  </r>
  <r>
    <x v="28"/>
    <n v="3317"/>
    <n v="1020"/>
    <n v="2036"/>
    <n v="6"/>
    <n v="30"/>
    <x v="1"/>
    <x v="0"/>
    <s v="Water Bottle"/>
    <x v="3"/>
    <n v="400"/>
    <n v="560"/>
    <n v="2400"/>
    <n v="3360"/>
    <n v="960"/>
    <n v="0.2857142857142857"/>
    <s v="High_order"/>
    <x v="2"/>
    <s v="Low_profit"/>
    <x v="7"/>
  </r>
  <r>
    <x v="140"/>
    <n v="3318"/>
    <n v="1015"/>
    <n v="2003"/>
    <n v="5"/>
    <n v="23"/>
    <x v="0"/>
    <x v="1"/>
    <s v="Organizer"/>
    <x v="1"/>
    <n v="70"/>
    <n v="210"/>
    <n v="350"/>
    <n v="1050"/>
    <n v="700"/>
    <n v="0.66666666666666663"/>
    <s v="Low_order"/>
    <x v="2"/>
    <s v="High_profit"/>
    <x v="6"/>
  </r>
  <r>
    <x v="150"/>
    <n v="3319"/>
    <n v="1017"/>
    <n v="2038"/>
    <n v="9"/>
    <n v="22"/>
    <x v="1"/>
    <x v="1"/>
    <s v="Dumbbells"/>
    <x v="3"/>
    <n v="120"/>
    <n v="200"/>
    <n v="1080"/>
    <n v="1800"/>
    <n v="720"/>
    <n v="0.4"/>
    <s v="Medium_order"/>
    <x v="2"/>
    <s v="Medium_profit"/>
    <x v="1"/>
  </r>
  <r>
    <x v="202"/>
    <n v="3320"/>
    <n v="1003"/>
    <n v="2035"/>
    <n v="4"/>
    <n v="37"/>
    <x v="0"/>
    <x v="0"/>
    <s v="Mouse"/>
    <x v="0"/>
    <n v="140"/>
    <n v="350"/>
    <n v="560"/>
    <n v="1400"/>
    <n v="840"/>
    <n v="0.6"/>
    <s v="Medium_order"/>
    <x v="1"/>
    <s v="High_profit"/>
    <x v="9"/>
  </r>
  <r>
    <x v="34"/>
    <n v="3321"/>
    <n v="1002"/>
    <n v="2041"/>
    <n v="10"/>
    <n v="28"/>
    <x v="1"/>
    <x v="4"/>
    <s v="Keyboard"/>
    <x v="0"/>
    <n v="230"/>
    <n v="400"/>
    <n v="2300"/>
    <n v="4000"/>
    <n v="1700"/>
    <n v="0.42499999999999999"/>
    <s v="High_order"/>
    <x v="2"/>
    <s v="High_profit"/>
    <x v="11"/>
  </r>
  <r>
    <x v="151"/>
    <n v="3322"/>
    <n v="1020"/>
    <n v="2032"/>
    <n v="10"/>
    <n v="42"/>
    <x v="1"/>
    <x v="2"/>
    <s v="Water Bottle"/>
    <x v="3"/>
    <n v="400"/>
    <n v="560"/>
    <n v="4000"/>
    <n v="5600"/>
    <n v="1600"/>
    <n v="0.2857142857142857"/>
    <s v="High_order"/>
    <x v="0"/>
    <s v="Low_profit"/>
    <x v="5"/>
  </r>
  <r>
    <x v="203"/>
    <n v="3323"/>
    <n v="1002"/>
    <n v="2038"/>
    <n v="2"/>
    <n v="22"/>
    <x v="1"/>
    <x v="1"/>
    <s v="Keyboard"/>
    <x v="0"/>
    <n v="230"/>
    <n v="400"/>
    <n v="460"/>
    <n v="800"/>
    <n v="340"/>
    <n v="0.42499999999999999"/>
    <s v="Low_order"/>
    <x v="2"/>
    <s v="High_profit"/>
    <x v="4"/>
  </r>
  <r>
    <x v="98"/>
    <n v="3324"/>
    <n v="1001"/>
    <n v="2024"/>
    <n v="1"/>
    <n v="26"/>
    <x v="0"/>
    <x v="0"/>
    <s v="Headphones"/>
    <x v="0"/>
    <n v="380"/>
    <n v="550"/>
    <n v="380"/>
    <n v="550"/>
    <n v="170"/>
    <n v="0.30909090909090908"/>
    <s v="Low_order"/>
    <x v="2"/>
    <s v="Low_profit"/>
    <x v="3"/>
  </r>
  <r>
    <x v="204"/>
    <n v="3325"/>
    <n v="1012"/>
    <n v="2041"/>
    <n v="1"/>
    <n v="28"/>
    <x v="1"/>
    <x v="4"/>
    <s v="Pen Set"/>
    <x v="1"/>
    <n v="380"/>
    <n v="510"/>
    <n v="380"/>
    <n v="510"/>
    <n v="130"/>
    <n v="0.25490196078431371"/>
    <s v="Low_order"/>
    <x v="2"/>
    <s v="Low_profit"/>
    <x v="0"/>
  </r>
  <r>
    <x v="205"/>
    <n v="3326"/>
    <n v="1007"/>
    <n v="2020"/>
    <n v="2"/>
    <n v="27"/>
    <x v="1"/>
    <x v="3"/>
    <s v="Charger"/>
    <x v="2"/>
    <n v="160"/>
    <n v="230"/>
    <n v="320"/>
    <n v="460"/>
    <n v="140"/>
    <n v="0.30434782608695654"/>
    <s v="Low_order"/>
    <x v="2"/>
    <s v="Low_profit"/>
    <x v="7"/>
  </r>
  <r>
    <x v="104"/>
    <n v="3327"/>
    <n v="1010"/>
    <n v="2007"/>
    <n v="2"/>
    <n v="34"/>
    <x v="1"/>
    <x v="1"/>
    <s v="Laptop Sleeve"/>
    <x v="2"/>
    <n v="290"/>
    <n v="470"/>
    <n v="580"/>
    <n v="940"/>
    <n v="360"/>
    <n v="0.38297872340425532"/>
    <s v="Low_order"/>
    <x v="1"/>
    <s v="Medium_profit"/>
    <x v="5"/>
  </r>
  <r>
    <x v="156"/>
    <n v="3328"/>
    <n v="1019"/>
    <n v="2044"/>
    <n v="3"/>
    <n v="44"/>
    <x v="0"/>
    <x v="5"/>
    <s v="Skipping Rope"/>
    <x v="3"/>
    <n v="140"/>
    <n v="270"/>
    <n v="420"/>
    <n v="810"/>
    <n v="390"/>
    <n v="0.48148148148148145"/>
    <s v="Low_order"/>
    <x v="0"/>
    <s v="High_profit"/>
    <x v="5"/>
  </r>
  <r>
    <x v="206"/>
    <n v="3329"/>
    <n v="1004"/>
    <n v="2003"/>
    <n v="8"/>
    <n v="23"/>
    <x v="0"/>
    <x v="1"/>
    <s v="Speaker"/>
    <x v="0"/>
    <n v="230"/>
    <n v="440"/>
    <n v="1840"/>
    <n v="3520"/>
    <n v="1680"/>
    <n v="0.47727272727272729"/>
    <s v="High_order"/>
    <x v="2"/>
    <s v="High_profit"/>
    <x v="4"/>
  </r>
  <r>
    <x v="10"/>
    <n v="3330"/>
    <n v="1014"/>
    <n v="2014"/>
    <n v="4"/>
    <n v="58"/>
    <x v="0"/>
    <x v="3"/>
    <s v="Stapler"/>
    <x v="1"/>
    <n v="170"/>
    <n v="280"/>
    <n v="680"/>
    <n v="1120"/>
    <n v="440"/>
    <n v="0.39285714285714285"/>
    <s v="Low_order"/>
    <x v="0"/>
    <s v="Medium_profit"/>
    <x v="3"/>
  </r>
  <r>
    <x v="207"/>
    <n v="3331"/>
    <n v="1009"/>
    <n v="2034"/>
    <n v="10"/>
    <n v="48"/>
    <x v="0"/>
    <x v="4"/>
    <s v="Power Bank"/>
    <x v="2"/>
    <n v="50"/>
    <n v="220"/>
    <n v="500"/>
    <n v="2200"/>
    <n v="1700"/>
    <n v="0.77272727272727271"/>
    <s v="Medium_order"/>
    <x v="0"/>
    <s v="High_profit"/>
    <x v="1"/>
  </r>
  <r>
    <x v="208"/>
    <n v="3332"/>
    <n v="1005"/>
    <n v="2022"/>
    <n v="3"/>
    <n v="19"/>
    <x v="1"/>
    <x v="4"/>
    <s v="Webcam"/>
    <x v="0"/>
    <n v="340"/>
    <n v="520"/>
    <n v="1020"/>
    <n v="1560"/>
    <n v="540"/>
    <n v="0.34615384615384615"/>
    <s v="Medium_order"/>
    <x v="2"/>
    <s v="Medium_profit"/>
    <x v="11"/>
  </r>
  <r>
    <x v="209"/>
    <n v="3333"/>
    <n v="1010"/>
    <n v="2028"/>
    <n v="2"/>
    <n v="43"/>
    <x v="1"/>
    <x v="5"/>
    <s v="Laptop Sleeve"/>
    <x v="2"/>
    <n v="290"/>
    <n v="470"/>
    <n v="580"/>
    <n v="940"/>
    <n v="360"/>
    <n v="0.38297872340425532"/>
    <s v="Low_order"/>
    <x v="0"/>
    <s v="Medium_profit"/>
    <x v="4"/>
  </r>
  <r>
    <x v="108"/>
    <n v="3334"/>
    <n v="1018"/>
    <n v="2005"/>
    <n v="3"/>
    <n v="56"/>
    <x v="0"/>
    <x v="2"/>
    <s v="Resistance Band"/>
    <x v="3"/>
    <n v="310"/>
    <n v="480"/>
    <n v="930"/>
    <n v="1440"/>
    <n v="510"/>
    <n v="0.35416666666666669"/>
    <s v="Medium_order"/>
    <x v="0"/>
    <s v="Medium_profit"/>
    <x v="9"/>
  </r>
  <r>
    <x v="91"/>
    <n v="3335"/>
    <n v="1016"/>
    <n v="2032"/>
    <n v="4"/>
    <n v="42"/>
    <x v="1"/>
    <x v="2"/>
    <s v="Yoga Mat"/>
    <x v="3"/>
    <n v="330"/>
    <n v="490"/>
    <n v="1320"/>
    <n v="1960"/>
    <n v="640"/>
    <n v="0.32653061224489793"/>
    <s v="Medium_order"/>
    <x v="0"/>
    <s v="Medium_profit"/>
    <x v="11"/>
  </r>
  <r>
    <x v="47"/>
    <n v="3336"/>
    <n v="1002"/>
    <n v="2003"/>
    <n v="3"/>
    <n v="23"/>
    <x v="0"/>
    <x v="1"/>
    <s v="Keyboard"/>
    <x v="0"/>
    <n v="230"/>
    <n v="400"/>
    <n v="690"/>
    <n v="1200"/>
    <n v="510"/>
    <n v="0.42499999999999999"/>
    <s v="Low_order"/>
    <x v="2"/>
    <s v="High_profit"/>
    <x v="7"/>
  </r>
  <r>
    <x v="205"/>
    <n v="3337"/>
    <n v="1001"/>
    <n v="2013"/>
    <n v="1"/>
    <n v="37"/>
    <x v="1"/>
    <x v="2"/>
    <s v="Headphones"/>
    <x v="0"/>
    <n v="380"/>
    <n v="550"/>
    <n v="380"/>
    <n v="550"/>
    <n v="170"/>
    <n v="0.30909090909090908"/>
    <s v="Low_order"/>
    <x v="1"/>
    <s v="Low_profit"/>
    <x v="7"/>
  </r>
  <r>
    <x v="80"/>
    <n v="3338"/>
    <n v="1016"/>
    <n v="2023"/>
    <n v="10"/>
    <n v="41"/>
    <x v="1"/>
    <x v="0"/>
    <s v="Yoga Mat"/>
    <x v="3"/>
    <n v="330"/>
    <n v="490"/>
    <n v="3300"/>
    <n v="4900"/>
    <n v="1600"/>
    <n v="0.32653061224489793"/>
    <s v="High_order"/>
    <x v="0"/>
    <s v="Medium_profit"/>
    <x v="7"/>
  </r>
  <r>
    <x v="182"/>
    <n v="3339"/>
    <n v="1012"/>
    <n v="2021"/>
    <n v="5"/>
    <n v="28"/>
    <x v="1"/>
    <x v="0"/>
    <s v="Pen Set"/>
    <x v="1"/>
    <n v="380"/>
    <n v="510"/>
    <n v="1900"/>
    <n v="2550"/>
    <n v="650"/>
    <n v="0.25490196078431371"/>
    <s v="High_order"/>
    <x v="2"/>
    <s v="Low_profit"/>
    <x v="2"/>
  </r>
  <r>
    <x v="62"/>
    <n v="3340"/>
    <n v="1005"/>
    <n v="2025"/>
    <n v="2"/>
    <n v="34"/>
    <x v="1"/>
    <x v="0"/>
    <s v="Webcam"/>
    <x v="0"/>
    <n v="340"/>
    <n v="520"/>
    <n v="680"/>
    <n v="1040"/>
    <n v="360"/>
    <n v="0.34615384615384615"/>
    <s v="Low_order"/>
    <x v="1"/>
    <s v="Medium_profit"/>
    <x v="9"/>
  </r>
  <r>
    <x v="210"/>
    <n v="3341"/>
    <n v="1017"/>
    <n v="2028"/>
    <n v="8"/>
    <n v="43"/>
    <x v="1"/>
    <x v="5"/>
    <s v="Dumbbells"/>
    <x v="3"/>
    <n v="120"/>
    <n v="200"/>
    <n v="960"/>
    <n v="1600"/>
    <n v="640"/>
    <n v="0.4"/>
    <s v="Medium_order"/>
    <x v="0"/>
    <s v="Medium_profit"/>
    <x v="6"/>
  </r>
  <r>
    <x v="109"/>
    <n v="3342"/>
    <n v="1003"/>
    <n v="2015"/>
    <n v="2"/>
    <n v="40"/>
    <x v="1"/>
    <x v="0"/>
    <s v="Mouse"/>
    <x v="0"/>
    <n v="140"/>
    <n v="350"/>
    <n v="280"/>
    <n v="700"/>
    <n v="420"/>
    <n v="0.6"/>
    <s v="Low_order"/>
    <x v="1"/>
    <s v="High_profit"/>
    <x v="11"/>
  </r>
  <r>
    <x v="103"/>
    <n v="3343"/>
    <n v="1020"/>
    <n v="2029"/>
    <n v="2"/>
    <n v="53"/>
    <x v="1"/>
    <x v="0"/>
    <s v="Water Bottle"/>
    <x v="3"/>
    <n v="400"/>
    <n v="560"/>
    <n v="800"/>
    <n v="1120"/>
    <n v="320"/>
    <n v="0.2857142857142857"/>
    <s v="Low_order"/>
    <x v="0"/>
    <s v="Low_profit"/>
    <x v="3"/>
  </r>
  <r>
    <x v="211"/>
    <n v="3344"/>
    <n v="1013"/>
    <n v="2044"/>
    <n v="5"/>
    <n v="44"/>
    <x v="0"/>
    <x v="5"/>
    <s v="Desk Lamp"/>
    <x v="1"/>
    <n v="140"/>
    <n v="390"/>
    <n v="700"/>
    <n v="1950"/>
    <n v="1250"/>
    <n v="0.64102564102564108"/>
    <s v="Medium_order"/>
    <x v="0"/>
    <s v="High_profit"/>
    <x v="4"/>
  </r>
  <r>
    <x v="79"/>
    <n v="3345"/>
    <n v="1016"/>
    <n v="2043"/>
    <n v="4"/>
    <n v="44"/>
    <x v="1"/>
    <x v="0"/>
    <s v="Yoga Mat"/>
    <x v="3"/>
    <n v="330"/>
    <n v="490"/>
    <n v="1320"/>
    <n v="1960"/>
    <n v="640"/>
    <n v="0.32653061224489793"/>
    <s v="Medium_order"/>
    <x v="0"/>
    <s v="Medium_profit"/>
    <x v="3"/>
  </r>
  <r>
    <x v="131"/>
    <n v="3346"/>
    <n v="1004"/>
    <n v="2012"/>
    <n v="4"/>
    <n v="21"/>
    <x v="0"/>
    <x v="2"/>
    <s v="Speaker"/>
    <x v="0"/>
    <n v="230"/>
    <n v="440"/>
    <n v="920"/>
    <n v="1760"/>
    <n v="840"/>
    <n v="0.47727272727272729"/>
    <s v="Medium_order"/>
    <x v="2"/>
    <s v="High_profit"/>
    <x v="1"/>
  </r>
  <r>
    <x v="212"/>
    <n v="3347"/>
    <n v="1020"/>
    <n v="2006"/>
    <n v="10"/>
    <n v="32"/>
    <x v="1"/>
    <x v="2"/>
    <s v="Water Bottle"/>
    <x v="3"/>
    <n v="400"/>
    <n v="560"/>
    <n v="4000"/>
    <n v="5600"/>
    <n v="1600"/>
    <n v="0.2857142857142857"/>
    <s v="High_order"/>
    <x v="1"/>
    <s v="Low_profit"/>
    <x v="2"/>
  </r>
  <r>
    <x v="213"/>
    <n v="3348"/>
    <n v="1007"/>
    <n v="2017"/>
    <n v="10"/>
    <n v="32"/>
    <x v="1"/>
    <x v="0"/>
    <s v="Charger"/>
    <x v="2"/>
    <n v="160"/>
    <n v="230"/>
    <n v="1600"/>
    <n v="2300"/>
    <n v="700"/>
    <n v="0.30434782608695654"/>
    <s v="Medium_order"/>
    <x v="1"/>
    <s v="Low_profit"/>
    <x v="11"/>
  </r>
  <r>
    <x v="214"/>
    <n v="3349"/>
    <n v="1006"/>
    <n v="2027"/>
    <n v="5"/>
    <n v="27"/>
    <x v="0"/>
    <x v="3"/>
    <s v="Phone Case"/>
    <x v="2"/>
    <n v="320"/>
    <n v="430"/>
    <n v="1600"/>
    <n v="2150"/>
    <n v="550"/>
    <n v="0.2558139534883721"/>
    <s v="Medium_order"/>
    <x v="2"/>
    <s v="Low_profit"/>
    <x v="8"/>
  </r>
  <r>
    <x v="138"/>
    <n v="3350"/>
    <n v="1018"/>
    <n v="2010"/>
    <n v="4"/>
    <n v="38"/>
    <x v="0"/>
    <x v="5"/>
    <s v="Resistance Band"/>
    <x v="3"/>
    <n v="310"/>
    <n v="480"/>
    <n v="1240"/>
    <n v="1920"/>
    <n v="680"/>
    <n v="0.35416666666666669"/>
    <s v="Medium_order"/>
    <x v="1"/>
    <s v="Medium_profit"/>
    <x v="3"/>
  </r>
  <r>
    <x v="215"/>
    <n v="3351"/>
    <n v="1014"/>
    <n v="2026"/>
    <n v="5"/>
    <n v="27"/>
    <x v="0"/>
    <x v="5"/>
    <s v="Stapler"/>
    <x v="1"/>
    <n v="170"/>
    <n v="280"/>
    <n v="850"/>
    <n v="1400"/>
    <n v="550"/>
    <n v="0.39285714285714285"/>
    <s v="Medium_order"/>
    <x v="2"/>
    <s v="Medium_profit"/>
    <x v="9"/>
  </r>
  <r>
    <x v="216"/>
    <n v="3352"/>
    <n v="1019"/>
    <n v="2027"/>
    <n v="4"/>
    <n v="27"/>
    <x v="0"/>
    <x v="3"/>
    <s v="Skipping Rope"/>
    <x v="3"/>
    <n v="140"/>
    <n v="270"/>
    <n v="560"/>
    <n v="1080"/>
    <n v="520"/>
    <n v="0.48148148148148145"/>
    <s v="Low_order"/>
    <x v="2"/>
    <s v="High_profit"/>
    <x v="11"/>
  </r>
  <r>
    <x v="104"/>
    <n v="3353"/>
    <n v="1007"/>
    <n v="2025"/>
    <n v="4"/>
    <n v="34"/>
    <x v="1"/>
    <x v="0"/>
    <s v="Charger"/>
    <x v="2"/>
    <n v="160"/>
    <n v="230"/>
    <n v="640"/>
    <n v="920"/>
    <n v="280"/>
    <n v="0.30434782608695654"/>
    <s v="Low_order"/>
    <x v="1"/>
    <s v="Low_profit"/>
    <x v="5"/>
  </r>
  <r>
    <x v="217"/>
    <n v="3354"/>
    <n v="1011"/>
    <n v="2004"/>
    <n v="1"/>
    <n v="25"/>
    <x v="1"/>
    <x v="4"/>
    <s v="Notebook"/>
    <x v="1"/>
    <n v="120"/>
    <n v="180"/>
    <n v="120"/>
    <n v="180"/>
    <n v="60"/>
    <n v="0.33333333333333331"/>
    <s v="Low_order"/>
    <x v="2"/>
    <s v="Medium_profit"/>
    <x v="2"/>
  </r>
  <r>
    <x v="218"/>
    <n v="3355"/>
    <n v="1002"/>
    <n v="2005"/>
    <n v="4"/>
    <n v="56"/>
    <x v="0"/>
    <x v="2"/>
    <s v="Keyboard"/>
    <x v="0"/>
    <n v="230"/>
    <n v="400"/>
    <n v="920"/>
    <n v="1600"/>
    <n v="680"/>
    <n v="0.42499999999999999"/>
    <s v="Medium_order"/>
    <x v="0"/>
    <s v="High_profit"/>
    <x v="11"/>
  </r>
  <r>
    <x v="188"/>
    <n v="3356"/>
    <n v="1019"/>
    <n v="2037"/>
    <n v="9"/>
    <n v="38"/>
    <x v="1"/>
    <x v="3"/>
    <s v="Skipping Rope"/>
    <x v="3"/>
    <n v="140"/>
    <n v="270"/>
    <n v="1260"/>
    <n v="2430"/>
    <n v="1170"/>
    <n v="0.48148148148148145"/>
    <s v="High_order"/>
    <x v="1"/>
    <s v="High_profit"/>
    <x v="2"/>
  </r>
  <r>
    <x v="93"/>
    <n v="3357"/>
    <n v="1001"/>
    <n v="2029"/>
    <n v="6"/>
    <n v="53"/>
    <x v="1"/>
    <x v="0"/>
    <s v="Headphones"/>
    <x v="0"/>
    <n v="380"/>
    <n v="550"/>
    <n v="2280"/>
    <n v="3300"/>
    <n v="1020"/>
    <n v="0.30909090909090908"/>
    <s v="High_order"/>
    <x v="0"/>
    <s v="Low_profit"/>
    <x v="6"/>
  </r>
  <r>
    <x v="219"/>
    <n v="3358"/>
    <n v="1020"/>
    <n v="2011"/>
    <n v="6"/>
    <n v="33"/>
    <x v="0"/>
    <x v="3"/>
    <s v="Water Bottle"/>
    <x v="3"/>
    <n v="400"/>
    <n v="560"/>
    <n v="2400"/>
    <n v="3360"/>
    <n v="960"/>
    <n v="0.2857142857142857"/>
    <s v="High_order"/>
    <x v="1"/>
    <s v="Low_profit"/>
    <x v="9"/>
  </r>
  <r>
    <x v="161"/>
    <n v="3359"/>
    <n v="1020"/>
    <n v="2035"/>
    <n v="9"/>
    <n v="37"/>
    <x v="0"/>
    <x v="0"/>
    <s v="Water Bottle"/>
    <x v="3"/>
    <n v="400"/>
    <n v="560"/>
    <n v="3600"/>
    <n v="5040"/>
    <n v="1440"/>
    <n v="0.2857142857142857"/>
    <s v="High_order"/>
    <x v="1"/>
    <s v="Low_profit"/>
    <x v="0"/>
  </r>
  <r>
    <x v="220"/>
    <n v="3360"/>
    <n v="1003"/>
    <n v="2008"/>
    <n v="9"/>
    <n v="36"/>
    <x v="1"/>
    <x v="5"/>
    <s v="Mouse"/>
    <x v="0"/>
    <n v="140"/>
    <n v="350"/>
    <n v="1260"/>
    <n v="3150"/>
    <n v="1890"/>
    <n v="0.6"/>
    <s v="High_order"/>
    <x v="1"/>
    <s v="High_profit"/>
    <x v="3"/>
  </r>
  <r>
    <x v="221"/>
    <n v="3361"/>
    <n v="1003"/>
    <n v="2007"/>
    <n v="2"/>
    <n v="34"/>
    <x v="1"/>
    <x v="1"/>
    <s v="Mouse"/>
    <x v="0"/>
    <n v="140"/>
    <n v="350"/>
    <n v="280"/>
    <n v="700"/>
    <n v="420"/>
    <n v="0.6"/>
    <s v="Low_order"/>
    <x v="1"/>
    <s v="High_profit"/>
    <x v="5"/>
  </r>
  <r>
    <x v="222"/>
    <n v="3362"/>
    <n v="1010"/>
    <n v="2046"/>
    <n v="6"/>
    <n v="52"/>
    <x v="1"/>
    <x v="4"/>
    <s v="Laptop Sleeve"/>
    <x v="2"/>
    <n v="290"/>
    <n v="470"/>
    <n v="1740"/>
    <n v="2820"/>
    <n v="1080"/>
    <n v="0.38297872340425532"/>
    <s v="High_order"/>
    <x v="0"/>
    <s v="Medium_profit"/>
    <x v="0"/>
  </r>
  <r>
    <x v="41"/>
    <n v="3363"/>
    <n v="1003"/>
    <n v="2037"/>
    <n v="3"/>
    <n v="38"/>
    <x v="1"/>
    <x v="3"/>
    <s v="Mouse"/>
    <x v="0"/>
    <n v="140"/>
    <n v="350"/>
    <n v="420"/>
    <n v="1050"/>
    <n v="630"/>
    <n v="0.6"/>
    <s v="Low_order"/>
    <x v="1"/>
    <s v="High_profit"/>
    <x v="6"/>
  </r>
  <r>
    <x v="188"/>
    <n v="3364"/>
    <n v="1013"/>
    <n v="2047"/>
    <n v="6"/>
    <n v="28"/>
    <x v="1"/>
    <x v="3"/>
    <s v="Desk Lamp"/>
    <x v="1"/>
    <n v="140"/>
    <n v="390"/>
    <n v="840"/>
    <n v="2340"/>
    <n v="1500"/>
    <n v="0.64102564102564108"/>
    <s v="Medium_order"/>
    <x v="2"/>
    <s v="High_profit"/>
    <x v="2"/>
  </r>
  <r>
    <x v="223"/>
    <n v="3365"/>
    <n v="1008"/>
    <n v="2022"/>
    <n v="6"/>
    <n v="19"/>
    <x v="1"/>
    <x v="4"/>
    <s v="USB Cable"/>
    <x v="2"/>
    <n v="340"/>
    <n v="430"/>
    <n v="2040"/>
    <n v="2580"/>
    <n v="540"/>
    <n v="0.20930232558139536"/>
    <s v="High_order"/>
    <x v="2"/>
    <s v="Low_profit"/>
    <x v="5"/>
  </r>
  <r>
    <x v="38"/>
    <n v="3366"/>
    <n v="1004"/>
    <n v="2001"/>
    <n v="4"/>
    <n v="44"/>
    <x v="1"/>
    <x v="0"/>
    <s v="Speaker"/>
    <x v="0"/>
    <n v="230"/>
    <n v="440"/>
    <n v="920"/>
    <n v="1760"/>
    <n v="840"/>
    <n v="0.47727272727272729"/>
    <s v="Medium_order"/>
    <x v="0"/>
    <s v="High_profit"/>
    <x v="0"/>
  </r>
  <r>
    <x v="60"/>
    <n v="3367"/>
    <n v="1010"/>
    <n v="2044"/>
    <n v="2"/>
    <n v="44"/>
    <x v="0"/>
    <x v="5"/>
    <s v="Laptop Sleeve"/>
    <x v="2"/>
    <n v="290"/>
    <n v="470"/>
    <n v="580"/>
    <n v="940"/>
    <n v="360"/>
    <n v="0.38297872340425532"/>
    <s v="Low_order"/>
    <x v="0"/>
    <s v="Medium_profit"/>
    <x v="6"/>
  </r>
  <r>
    <x v="224"/>
    <n v="3368"/>
    <n v="1012"/>
    <n v="2037"/>
    <n v="5"/>
    <n v="38"/>
    <x v="1"/>
    <x v="3"/>
    <s v="Pen Set"/>
    <x v="1"/>
    <n v="380"/>
    <n v="510"/>
    <n v="1900"/>
    <n v="2550"/>
    <n v="650"/>
    <n v="0.25490196078431371"/>
    <s v="High_order"/>
    <x v="1"/>
    <s v="Low_profit"/>
    <x v="9"/>
  </r>
  <r>
    <x v="169"/>
    <n v="3369"/>
    <n v="1006"/>
    <n v="2028"/>
    <n v="4"/>
    <n v="43"/>
    <x v="1"/>
    <x v="5"/>
    <s v="Phone Case"/>
    <x v="2"/>
    <n v="320"/>
    <n v="430"/>
    <n v="1280"/>
    <n v="1720"/>
    <n v="440"/>
    <n v="0.2558139534883721"/>
    <s v="Medium_order"/>
    <x v="0"/>
    <s v="Low_profit"/>
    <x v="6"/>
  </r>
  <r>
    <x v="44"/>
    <n v="3370"/>
    <n v="1009"/>
    <n v="2032"/>
    <n v="2"/>
    <n v="42"/>
    <x v="1"/>
    <x v="2"/>
    <s v="Power Bank"/>
    <x v="2"/>
    <n v="50"/>
    <n v="220"/>
    <n v="100"/>
    <n v="440"/>
    <n v="340"/>
    <n v="0.77272727272727271"/>
    <s v="Low_order"/>
    <x v="0"/>
    <s v="High_profit"/>
    <x v="10"/>
  </r>
  <r>
    <x v="179"/>
    <n v="3371"/>
    <n v="1017"/>
    <n v="2033"/>
    <n v="1"/>
    <n v="43"/>
    <x v="0"/>
    <x v="2"/>
    <s v="Dumbbells"/>
    <x v="3"/>
    <n v="120"/>
    <n v="200"/>
    <n v="120"/>
    <n v="200"/>
    <n v="80"/>
    <n v="0.4"/>
    <s v="Low_order"/>
    <x v="0"/>
    <s v="Medium_profit"/>
    <x v="3"/>
  </r>
  <r>
    <x v="105"/>
    <n v="3372"/>
    <n v="1020"/>
    <n v="2012"/>
    <n v="10"/>
    <n v="21"/>
    <x v="0"/>
    <x v="2"/>
    <s v="Water Bottle"/>
    <x v="3"/>
    <n v="400"/>
    <n v="560"/>
    <n v="4000"/>
    <n v="5600"/>
    <n v="1600"/>
    <n v="0.2857142857142857"/>
    <s v="High_order"/>
    <x v="2"/>
    <s v="Low_profit"/>
    <x v="5"/>
  </r>
  <r>
    <x v="225"/>
    <n v="3373"/>
    <n v="1019"/>
    <n v="2033"/>
    <n v="9"/>
    <n v="43"/>
    <x v="0"/>
    <x v="2"/>
    <s v="Skipping Rope"/>
    <x v="3"/>
    <n v="140"/>
    <n v="270"/>
    <n v="1260"/>
    <n v="2430"/>
    <n v="1170"/>
    <n v="0.48148148148148145"/>
    <s v="High_order"/>
    <x v="0"/>
    <s v="High_profit"/>
    <x v="6"/>
  </r>
  <r>
    <x v="48"/>
    <n v="3374"/>
    <n v="1007"/>
    <n v="2032"/>
    <n v="7"/>
    <n v="42"/>
    <x v="1"/>
    <x v="2"/>
    <s v="Charger"/>
    <x v="2"/>
    <n v="160"/>
    <n v="230"/>
    <n v="1120"/>
    <n v="1610"/>
    <n v="490"/>
    <n v="0.30434782608695654"/>
    <s v="Medium_order"/>
    <x v="0"/>
    <s v="Low_profit"/>
    <x v="0"/>
  </r>
  <r>
    <x v="226"/>
    <n v="3375"/>
    <n v="1017"/>
    <n v="2001"/>
    <n v="7"/>
    <n v="44"/>
    <x v="1"/>
    <x v="0"/>
    <s v="Dumbbells"/>
    <x v="3"/>
    <n v="120"/>
    <n v="200"/>
    <n v="840"/>
    <n v="1400"/>
    <n v="560"/>
    <n v="0.4"/>
    <s v="Medium_order"/>
    <x v="0"/>
    <s v="Medium_profit"/>
    <x v="10"/>
  </r>
  <r>
    <x v="46"/>
    <n v="3376"/>
    <n v="1006"/>
    <n v="2014"/>
    <n v="1"/>
    <n v="58"/>
    <x v="0"/>
    <x v="3"/>
    <s v="Phone Case"/>
    <x v="2"/>
    <n v="320"/>
    <n v="430"/>
    <n v="320"/>
    <n v="430"/>
    <n v="110"/>
    <n v="0.2558139534883721"/>
    <s v="Low_order"/>
    <x v="0"/>
    <s v="Low_profit"/>
    <x v="9"/>
  </r>
  <r>
    <x v="7"/>
    <n v="3377"/>
    <n v="1002"/>
    <n v="2001"/>
    <n v="7"/>
    <n v="44"/>
    <x v="1"/>
    <x v="0"/>
    <s v="Keyboard"/>
    <x v="0"/>
    <n v="230"/>
    <n v="400"/>
    <n v="1610"/>
    <n v="2800"/>
    <n v="1190"/>
    <n v="0.42499999999999999"/>
    <s v="High_order"/>
    <x v="0"/>
    <s v="High_profit"/>
    <x v="5"/>
  </r>
  <r>
    <x v="14"/>
    <n v="3378"/>
    <n v="1002"/>
    <n v="2022"/>
    <n v="5"/>
    <n v="19"/>
    <x v="1"/>
    <x v="4"/>
    <s v="Keyboard"/>
    <x v="0"/>
    <n v="230"/>
    <n v="400"/>
    <n v="1150"/>
    <n v="2000"/>
    <n v="850"/>
    <n v="0.42499999999999999"/>
    <s v="Medium_order"/>
    <x v="2"/>
    <s v="High_profit"/>
    <x v="3"/>
  </r>
  <r>
    <x v="171"/>
    <n v="3379"/>
    <n v="1018"/>
    <n v="2048"/>
    <n v="5"/>
    <n v="41"/>
    <x v="0"/>
    <x v="5"/>
    <s v="Resistance Band"/>
    <x v="3"/>
    <n v="310"/>
    <n v="480"/>
    <n v="1550"/>
    <n v="2400"/>
    <n v="850"/>
    <n v="0.35416666666666669"/>
    <s v="Medium_order"/>
    <x v="0"/>
    <s v="Medium_profit"/>
    <x v="3"/>
  </r>
  <r>
    <x v="148"/>
    <n v="3380"/>
    <n v="1006"/>
    <n v="2042"/>
    <n v="1"/>
    <n v="18"/>
    <x v="0"/>
    <x v="1"/>
    <s v="Phone Case"/>
    <x v="2"/>
    <n v="320"/>
    <n v="430"/>
    <n v="320"/>
    <n v="430"/>
    <n v="110"/>
    <n v="0.2558139534883721"/>
    <s v="Low_order"/>
    <x v="2"/>
    <s v="Low_profit"/>
    <x v="1"/>
  </r>
  <r>
    <x v="60"/>
    <n v="3381"/>
    <n v="1015"/>
    <n v="2020"/>
    <n v="8"/>
    <n v="27"/>
    <x v="1"/>
    <x v="3"/>
    <s v="Organizer"/>
    <x v="1"/>
    <n v="70"/>
    <n v="210"/>
    <n v="560"/>
    <n v="1680"/>
    <n v="1120"/>
    <n v="0.66666666666666663"/>
    <s v="Medium_order"/>
    <x v="2"/>
    <s v="High_profit"/>
    <x v="6"/>
  </r>
  <r>
    <x v="227"/>
    <n v="3382"/>
    <n v="1009"/>
    <n v="2032"/>
    <n v="3"/>
    <n v="42"/>
    <x v="1"/>
    <x v="2"/>
    <s v="Power Bank"/>
    <x v="2"/>
    <n v="50"/>
    <n v="220"/>
    <n v="150"/>
    <n v="660"/>
    <n v="510"/>
    <n v="0.77272727272727271"/>
    <s v="Low_order"/>
    <x v="0"/>
    <s v="High_profit"/>
    <x v="4"/>
  </r>
  <r>
    <x v="228"/>
    <n v="3383"/>
    <n v="1008"/>
    <n v="2050"/>
    <n v="2"/>
    <n v="54"/>
    <x v="0"/>
    <x v="0"/>
    <s v="USB Cable"/>
    <x v="2"/>
    <n v="340"/>
    <n v="430"/>
    <n v="680"/>
    <n v="860"/>
    <n v="180"/>
    <n v="0.20930232558139536"/>
    <s v="Low_order"/>
    <x v="0"/>
    <s v="Low_profit"/>
    <x v="9"/>
  </r>
  <r>
    <x v="93"/>
    <n v="3384"/>
    <n v="1017"/>
    <n v="2038"/>
    <n v="7"/>
    <n v="22"/>
    <x v="1"/>
    <x v="1"/>
    <s v="Dumbbells"/>
    <x v="3"/>
    <n v="120"/>
    <n v="200"/>
    <n v="840"/>
    <n v="1400"/>
    <n v="560"/>
    <n v="0.4"/>
    <s v="Medium_order"/>
    <x v="2"/>
    <s v="Medium_profit"/>
    <x v="6"/>
  </r>
  <r>
    <x v="51"/>
    <n v="3385"/>
    <n v="1014"/>
    <n v="2042"/>
    <n v="3"/>
    <n v="18"/>
    <x v="0"/>
    <x v="1"/>
    <s v="Stapler"/>
    <x v="1"/>
    <n v="170"/>
    <n v="280"/>
    <n v="510"/>
    <n v="840"/>
    <n v="330"/>
    <n v="0.39285714285714285"/>
    <s v="Low_order"/>
    <x v="2"/>
    <s v="Medium_profit"/>
    <x v="4"/>
  </r>
  <r>
    <x v="117"/>
    <n v="3386"/>
    <n v="1006"/>
    <n v="2022"/>
    <n v="10"/>
    <n v="19"/>
    <x v="1"/>
    <x v="4"/>
    <s v="Phone Case"/>
    <x v="2"/>
    <n v="320"/>
    <n v="430"/>
    <n v="3200"/>
    <n v="4300"/>
    <n v="1100"/>
    <n v="0.2558139534883721"/>
    <s v="High_order"/>
    <x v="2"/>
    <s v="Low_profit"/>
    <x v="8"/>
  </r>
  <r>
    <x v="212"/>
    <n v="3387"/>
    <n v="1010"/>
    <n v="2028"/>
    <n v="4"/>
    <n v="43"/>
    <x v="1"/>
    <x v="5"/>
    <s v="Laptop Sleeve"/>
    <x v="2"/>
    <n v="290"/>
    <n v="470"/>
    <n v="1160"/>
    <n v="1880"/>
    <n v="720"/>
    <n v="0.38297872340425532"/>
    <s v="Medium_order"/>
    <x v="0"/>
    <s v="Medium_profit"/>
    <x v="2"/>
  </r>
  <r>
    <x v="229"/>
    <n v="3388"/>
    <n v="1011"/>
    <n v="2020"/>
    <n v="9"/>
    <n v="27"/>
    <x v="1"/>
    <x v="3"/>
    <s v="Notebook"/>
    <x v="1"/>
    <n v="120"/>
    <n v="180"/>
    <n v="1080"/>
    <n v="1620"/>
    <n v="540"/>
    <n v="0.33333333333333331"/>
    <s v="Medium_order"/>
    <x v="2"/>
    <s v="Medium_profit"/>
    <x v="5"/>
  </r>
  <r>
    <x v="230"/>
    <n v="3389"/>
    <n v="1012"/>
    <n v="2012"/>
    <n v="9"/>
    <n v="21"/>
    <x v="0"/>
    <x v="2"/>
    <s v="Pen Set"/>
    <x v="1"/>
    <n v="380"/>
    <n v="510"/>
    <n v="3420"/>
    <n v="4590"/>
    <n v="1170"/>
    <n v="0.25490196078431371"/>
    <s v="High_order"/>
    <x v="2"/>
    <s v="Low_profit"/>
    <x v="10"/>
  </r>
  <r>
    <x v="131"/>
    <n v="3390"/>
    <n v="1014"/>
    <n v="2011"/>
    <n v="6"/>
    <n v="33"/>
    <x v="0"/>
    <x v="3"/>
    <s v="Stapler"/>
    <x v="1"/>
    <n v="170"/>
    <n v="280"/>
    <n v="1020"/>
    <n v="1680"/>
    <n v="660"/>
    <n v="0.39285714285714285"/>
    <s v="Medium_order"/>
    <x v="1"/>
    <s v="Medium_profit"/>
    <x v="1"/>
  </r>
  <r>
    <x v="231"/>
    <n v="3391"/>
    <n v="1018"/>
    <n v="2025"/>
    <n v="4"/>
    <n v="34"/>
    <x v="1"/>
    <x v="0"/>
    <s v="Resistance Band"/>
    <x v="3"/>
    <n v="310"/>
    <n v="480"/>
    <n v="1240"/>
    <n v="1920"/>
    <n v="680"/>
    <n v="0.35416666666666669"/>
    <s v="Medium_order"/>
    <x v="1"/>
    <s v="Medium_profit"/>
    <x v="7"/>
  </r>
  <r>
    <x v="98"/>
    <n v="3392"/>
    <n v="1008"/>
    <n v="2033"/>
    <n v="4"/>
    <n v="43"/>
    <x v="0"/>
    <x v="2"/>
    <s v="USB Cable"/>
    <x v="2"/>
    <n v="340"/>
    <n v="430"/>
    <n v="1360"/>
    <n v="1720"/>
    <n v="360"/>
    <n v="0.20930232558139536"/>
    <s v="Medium_order"/>
    <x v="0"/>
    <s v="Low_profit"/>
    <x v="3"/>
  </r>
  <r>
    <x v="232"/>
    <n v="3393"/>
    <n v="1001"/>
    <n v="2015"/>
    <n v="6"/>
    <n v="40"/>
    <x v="1"/>
    <x v="0"/>
    <s v="Headphones"/>
    <x v="0"/>
    <n v="380"/>
    <n v="550"/>
    <n v="2280"/>
    <n v="3300"/>
    <n v="1020"/>
    <n v="0.30909090909090908"/>
    <s v="High_order"/>
    <x v="1"/>
    <s v="Low_profit"/>
    <x v="7"/>
  </r>
  <r>
    <x v="233"/>
    <n v="3394"/>
    <n v="1009"/>
    <n v="2043"/>
    <n v="1"/>
    <n v="44"/>
    <x v="1"/>
    <x v="0"/>
    <s v="Power Bank"/>
    <x v="2"/>
    <n v="50"/>
    <n v="220"/>
    <n v="50"/>
    <n v="220"/>
    <n v="170"/>
    <n v="0.77272727272727271"/>
    <s v="Low_order"/>
    <x v="0"/>
    <s v="High_profit"/>
    <x v="9"/>
  </r>
  <r>
    <x v="84"/>
    <n v="3395"/>
    <n v="1009"/>
    <n v="2042"/>
    <n v="10"/>
    <n v="18"/>
    <x v="0"/>
    <x v="1"/>
    <s v="Power Bank"/>
    <x v="2"/>
    <n v="50"/>
    <n v="220"/>
    <n v="500"/>
    <n v="2200"/>
    <n v="1700"/>
    <n v="0.77272727272727271"/>
    <s v="Medium_order"/>
    <x v="2"/>
    <s v="High_profit"/>
    <x v="8"/>
  </r>
  <r>
    <x v="112"/>
    <n v="3396"/>
    <n v="1014"/>
    <n v="2011"/>
    <n v="4"/>
    <n v="33"/>
    <x v="0"/>
    <x v="3"/>
    <s v="Stapler"/>
    <x v="1"/>
    <n v="170"/>
    <n v="280"/>
    <n v="680"/>
    <n v="1120"/>
    <n v="440"/>
    <n v="0.39285714285714285"/>
    <s v="Low_order"/>
    <x v="1"/>
    <s v="Medium_profit"/>
    <x v="7"/>
  </r>
  <r>
    <x v="102"/>
    <n v="3397"/>
    <n v="1013"/>
    <n v="2007"/>
    <n v="8"/>
    <n v="34"/>
    <x v="1"/>
    <x v="1"/>
    <s v="Desk Lamp"/>
    <x v="1"/>
    <n v="140"/>
    <n v="390"/>
    <n v="1120"/>
    <n v="3120"/>
    <n v="2000"/>
    <n v="0.64102564102564108"/>
    <s v="High_order"/>
    <x v="1"/>
    <s v="High_profit"/>
    <x v="2"/>
  </r>
  <r>
    <x v="234"/>
    <n v="3398"/>
    <n v="1004"/>
    <n v="2050"/>
    <n v="7"/>
    <n v="54"/>
    <x v="0"/>
    <x v="0"/>
    <s v="Speaker"/>
    <x v="0"/>
    <n v="230"/>
    <n v="440"/>
    <n v="1610"/>
    <n v="3080"/>
    <n v="1470"/>
    <n v="0.47727272727272729"/>
    <s v="High_order"/>
    <x v="0"/>
    <s v="High_profit"/>
    <x v="2"/>
  </r>
  <r>
    <x v="2"/>
    <n v="3399"/>
    <n v="1019"/>
    <n v="2011"/>
    <n v="6"/>
    <n v="33"/>
    <x v="0"/>
    <x v="3"/>
    <s v="Skipping Rope"/>
    <x v="3"/>
    <n v="140"/>
    <n v="270"/>
    <n v="840"/>
    <n v="1620"/>
    <n v="780"/>
    <n v="0.48148148148148145"/>
    <s v="Medium_order"/>
    <x v="1"/>
    <s v="High_profit"/>
    <x v="0"/>
  </r>
  <r>
    <x v="187"/>
    <n v="3400"/>
    <n v="1015"/>
    <n v="2043"/>
    <n v="9"/>
    <n v="44"/>
    <x v="1"/>
    <x v="0"/>
    <s v="Organizer"/>
    <x v="1"/>
    <n v="70"/>
    <n v="210"/>
    <n v="630"/>
    <n v="1890"/>
    <n v="1260"/>
    <n v="0.66666666666666663"/>
    <s v="Medium_order"/>
    <x v="0"/>
    <s v="High_profit"/>
    <x v="8"/>
  </r>
  <r>
    <x v="235"/>
    <n v="3401"/>
    <n v="1019"/>
    <n v="2028"/>
    <n v="1"/>
    <n v="43"/>
    <x v="1"/>
    <x v="5"/>
    <s v="Skipping Rope"/>
    <x v="3"/>
    <n v="140"/>
    <n v="270"/>
    <n v="140"/>
    <n v="270"/>
    <n v="130"/>
    <n v="0.48148148148148145"/>
    <s v="Low_order"/>
    <x v="0"/>
    <s v="High_profit"/>
    <x v="0"/>
  </r>
  <r>
    <x v="62"/>
    <n v="3402"/>
    <n v="1013"/>
    <n v="2020"/>
    <n v="4"/>
    <n v="27"/>
    <x v="1"/>
    <x v="3"/>
    <s v="Desk Lamp"/>
    <x v="1"/>
    <n v="140"/>
    <n v="390"/>
    <n v="560"/>
    <n v="1560"/>
    <n v="1000"/>
    <n v="0.64102564102564108"/>
    <s v="Medium_order"/>
    <x v="2"/>
    <s v="High_profit"/>
    <x v="9"/>
  </r>
  <r>
    <x v="205"/>
    <n v="3403"/>
    <n v="1001"/>
    <n v="2032"/>
    <n v="9"/>
    <n v="42"/>
    <x v="1"/>
    <x v="2"/>
    <s v="Headphones"/>
    <x v="0"/>
    <n v="380"/>
    <n v="550"/>
    <n v="3420"/>
    <n v="4950"/>
    <n v="1530"/>
    <n v="0.30909090909090908"/>
    <s v="High_order"/>
    <x v="0"/>
    <s v="Low_profit"/>
    <x v="7"/>
  </r>
  <r>
    <x v="84"/>
    <n v="3404"/>
    <n v="1016"/>
    <n v="2040"/>
    <n v="1"/>
    <n v="40"/>
    <x v="1"/>
    <x v="2"/>
    <s v="Yoga Mat"/>
    <x v="3"/>
    <n v="330"/>
    <n v="490"/>
    <n v="330"/>
    <n v="490"/>
    <n v="160"/>
    <n v="0.32653061224489793"/>
    <s v="Low_order"/>
    <x v="1"/>
    <s v="Medium_profit"/>
    <x v="8"/>
  </r>
  <r>
    <x v="236"/>
    <n v="3405"/>
    <n v="1009"/>
    <n v="2023"/>
    <n v="2"/>
    <n v="41"/>
    <x v="1"/>
    <x v="0"/>
    <s v="Power Bank"/>
    <x v="2"/>
    <n v="50"/>
    <n v="220"/>
    <n v="100"/>
    <n v="440"/>
    <n v="340"/>
    <n v="0.77272727272727271"/>
    <s v="Low_order"/>
    <x v="0"/>
    <s v="High_profit"/>
    <x v="7"/>
  </r>
  <r>
    <x v="237"/>
    <n v="3406"/>
    <n v="1017"/>
    <n v="2033"/>
    <n v="10"/>
    <n v="43"/>
    <x v="0"/>
    <x v="2"/>
    <s v="Dumbbells"/>
    <x v="3"/>
    <n v="120"/>
    <n v="200"/>
    <n v="1200"/>
    <n v="2000"/>
    <n v="800"/>
    <n v="0.4"/>
    <s v="Medium_order"/>
    <x v="0"/>
    <s v="Medium_profit"/>
    <x v="10"/>
  </r>
  <r>
    <x v="238"/>
    <n v="3407"/>
    <n v="1005"/>
    <n v="2049"/>
    <n v="10"/>
    <n v="44"/>
    <x v="0"/>
    <x v="0"/>
    <s v="Webcam"/>
    <x v="0"/>
    <n v="340"/>
    <n v="520"/>
    <n v="3400"/>
    <n v="5200"/>
    <n v="1800"/>
    <n v="0.34615384615384615"/>
    <s v="High_order"/>
    <x v="0"/>
    <s v="Medium_profit"/>
    <x v="3"/>
  </r>
  <r>
    <x v="239"/>
    <n v="3408"/>
    <n v="1003"/>
    <n v="2024"/>
    <n v="6"/>
    <n v="26"/>
    <x v="0"/>
    <x v="0"/>
    <s v="Mouse"/>
    <x v="0"/>
    <n v="140"/>
    <n v="350"/>
    <n v="840"/>
    <n v="2100"/>
    <n v="1260"/>
    <n v="0.6"/>
    <s v="Medium_order"/>
    <x v="2"/>
    <s v="High_profit"/>
    <x v="4"/>
  </r>
  <r>
    <x v="73"/>
    <n v="3409"/>
    <n v="1017"/>
    <n v="2007"/>
    <n v="9"/>
    <n v="34"/>
    <x v="1"/>
    <x v="1"/>
    <s v="Dumbbells"/>
    <x v="3"/>
    <n v="120"/>
    <n v="200"/>
    <n v="1080"/>
    <n v="1800"/>
    <n v="720"/>
    <n v="0.4"/>
    <s v="Medium_order"/>
    <x v="1"/>
    <s v="Medium_profit"/>
    <x v="7"/>
  </r>
  <r>
    <x v="79"/>
    <n v="3410"/>
    <n v="1001"/>
    <n v="2019"/>
    <n v="2"/>
    <n v="57"/>
    <x v="1"/>
    <x v="3"/>
    <s v="Headphones"/>
    <x v="0"/>
    <n v="380"/>
    <n v="550"/>
    <n v="760"/>
    <n v="1100"/>
    <n v="340"/>
    <n v="0.30909090909090908"/>
    <s v="Low_order"/>
    <x v="0"/>
    <s v="Low_profit"/>
    <x v="3"/>
  </r>
  <r>
    <x v="137"/>
    <n v="3411"/>
    <n v="1013"/>
    <n v="2050"/>
    <n v="10"/>
    <n v="54"/>
    <x v="0"/>
    <x v="0"/>
    <s v="Desk Lamp"/>
    <x v="1"/>
    <n v="140"/>
    <n v="390"/>
    <n v="1400"/>
    <n v="3900"/>
    <n v="2500"/>
    <n v="0.64102564102564108"/>
    <s v="High_order"/>
    <x v="0"/>
    <s v="High_profit"/>
    <x v="7"/>
  </r>
  <r>
    <x v="211"/>
    <n v="3412"/>
    <n v="1009"/>
    <n v="2027"/>
    <n v="8"/>
    <n v="27"/>
    <x v="0"/>
    <x v="3"/>
    <s v="Power Bank"/>
    <x v="2"/>
    <n v="50"/>
    <n v="220"/>
    <n v="400"/>
    <n v="1760"/>
    <n v="1360"/>
    <n v="0.77272727272727271"/>
    <s v="Medium_order"/>
    <x v="2"/>
    <s v="High_profit"/>
    <x v="4"/>
  </r>
  <r>
    <x v="54"/>
    <n v="3413"/>
    <n v="1014"/>
    <n v="2006"/>
    <n v="7"/>
    <n v="32"/>
    <x v="1"/>
    <x v="2"/>
    <s v="Stapler"/>
    <x v="1"/>
    <n v="170"/>
    <n v="280"/>
    <n v="1190"/>
    <n v="1960"/>
    <n v="770"/>
    <n v="0.39285714285714285"/>
    <s v="Medium_order"/>
    <x v="1"/>
    <s v="Medium_profit"/>
    <x v="1"/>
  </r>
  <r>
    <x v="240"/>
    <n v="3414"/>
    <n v="1002"/>
    <n v="2007"/>
    <n v="5"/>
    <n v="34"/>
    <x v="1"/>
    <x v="1"/>
    <s v="Keyboard"/>
    <x v="0"/>
    <n v="230"/>
    <n v="400"/>
    <n v="1150"/>
    <n v="2000"/>
    <n v="850"/>
    <n v="0.42499999999999999"/>
    <s v="Medium_order"/>
    <x v="1"/>
    <s v="High_profit"/>
    <x v="6"/>
  </r>
  <r>
    <x v="241"/>
    <n v="3415"/>
    <n v="1019"/>
    <n v="2045"/>
    <n v="8"/>
    <n v="36"/>
    <x v="1"/>
    <x v="0"/>
    <s v="Skipping Rope"/>
    <x v="3"/>
    <n v="140"/>
    <n v="270"/>
    <n v="1120"/>
    <n v="2160"/>
    <n v="1040"/>
    <n v="0.48148148148148145"/>
    <s v="Medium_order"/>
    <x v="1"/>
    <s v="High_profit"/>
    <x v="9"/>
  </r>
  <r>
    <x v="226"/>
    <n v="3416"/>
    <n v="1020"/>
    <n v="2040"/>
    <n v="5"/>
    <n v="40"/>
    <x v="1"/>
    <x v="2"/>
    <s v="Water Bottle"/>
    <x v="3"/>
    <n v="400"/>
    <n v="560"/>
    <n v="2000"/>
    <n v="2800"/>
    <n v="800"/>
    <n v="0.2857142857142857"/>
    <s v="High_order"/>
    <x v="1"/>
    <s v="Low_profit"/>
    <x v="10"/>
  </r>
  <r>
    <x v="242"/>
    <n v="3417"/>
    <n v="1011"/>
    <n v="2024"/>
    <n v="7"/>
    <n v="26"/>
    <x v="0"/>
    <x v="0"/>
    <s v="Notebook"/>
    <x v="1"/>
    <n v="120"/>
    <n v="180"/>
    <n v="840"/>
    <n v="1260"/>
    <n v="420"/>
    <n v="0.33333333333333331"/>
    <s v="Low_order"/>
    <x v="2"/>
    <s v="Medium_profit"/>
    <x v="2"/>
  </r>
  <r>
    <x v="192"/>
    <n v="3418"/>
    <n v="1015"/>
    <n v="2007"/>
    <n v="9"/>
    <n v="34"/>
    <x v="1"/>
    <x v="1"/>
    <s v="Organizer"/>
    <x v="1"/>
    <n v="70"/>
    <n v="210"/>
    <n v="630"/>
    <n v="1890"/>
    <n v="1260"/>
    <n v="0.66666666666666663"/>
    <s v="Medium_order"/>
    <x v="1"/>
    <s v="High_profit"/>
    <x v="0"/>
  </r>
  <r>
    <x v="243"/>
    <n v="3419"/>
    <n v="1003"/>
    <n v="2049"/>
    <n v="6"/>
    <n v="44"/>
    <x v="0"/>
    <x v="0"/>
    <s v="Mouse"/>
    <x v="0"/>
    <n v="140"/>
    <n v="350"/>
    <n v="840"/>
    <n v="2100"/>
    <n v="1260"/>
    <n v="0.6"/>
    <s v="Medium_order"/>
    <x v="0"/>
    <s v="High_profit"/>
    <x v="9"/>
  </r>
  <r>
    <x v="167"/>
    <n v="3420"/>
    <n v="1015"/>
    <n v="2038"/>
    <n v="6"/>
    <n v="22"/>
    <x v="1"/>
    <x v="1"/>
    <s v="Organizer"/>
    <x v="1"/>
    <n v="70"/>
    <n v="210"/>
    <n v="420"/>
    <n v="1260"/>
    <n v="840"/>
    <n v="0.66666666666666663"/>
    <s v="Low_order"/>
    <x v="2"/>
    <s v="High_profit"/>
    <x v="11"/>
  </r>
  <r>
    <x v="10"/>
    <n v="3421"/>
    <n v="1008"/>
    <n v="2034"/>
    <n v="9"/>
    <n v="48"/>
    <x v="0"/>
    <x v="4"/>
    <s v="USB Cable"/>
    <x v="2"/>
    <n v="340"/>
    <n v="430"/>
    <n v="3060"/>
    <n v="3870"/>
    <n v="810"/>
    <n v="0.20930232558139536"/>
    <s v="High_order"/>
    <x v="0"/>
    <s v="Low_profit"/>
    <x v="3"/>
  </r>
  <r>
    <x v="244"/>
    <n v="3422"/>
    <n v="1006"/>
    <n v="2010"/>
    <n v="7"/>
    <n v="38"/>
    <x v="0"/>
    <x v="5"/>
    <s v="Phone Case"/>
    <x v="2"/>
    <n v="320"/>
    <n v="430"/>
    <n v="2240"/>
    <n v="3010"/>
    <n v="770"/>
    <n v="0.2558139534883721"/>
    <s v="High_order"/>
    <x v="1"/>
    <s v="Low_profit"/>
    <x v="10"/>
  </r>
  <r>
    <x v="142"/>
    <n v="3423"/>
    <n v="1004"/>
    <n v="2022"/>
    <n v="3"/>
    <n v="19"/>
    <x v="1"/>
    <x v="4"/>
    <s v="Speaker"/>
    <x v="0"/>
    <n v="230"/>
    <n v="440"/>
    <n v="690"/>
    <n v="1320"/>
    <n v="630"/>
    <n v="0.47727272727272729"/>
    <s v="Medium_order"/>
    <x v="2"/>
    <s v="High_profit"/>
    <x v="9"/>
  </r>
  <r>
    <x v="236"/>
    <n v="3424"/>
    <n v="1011"/>
    <n v="2012"/>
    <n v="5"/>
    <n v="21"/>
    <x v="0"/>
    <x v="2"/>
    <s v="Notebook"/>
    <x v="1"/>
    <n v="120"/>
    <n v="180"/>
    <n v="600"/>
    <n v="900"/>
    <n v="300"/>
    <n v="0.33333333333333331"/>
    <s v="Low_order"/>
    <x v="2"/>
    <s v="Medium_profit"/>
    <x v="7"/>
  </r>
  <r>
    <x v="245"/>
    <n v="3425"/>
    <n v="1019"/>
    <n v="2016"/>
    <n v="10"/>
    <n v="29"/>
    <x v="0"/>
    <x v="3"/>
    <s v="Skipping Rope"/>
    <x v="3"/>
    <n v="140"/>
    <n v="270"/>
    <n v="1400"/>
    <n v="2700"/>
    <n v="1300"/>
    <n v="0.48148148148148145"/>
    <s v="High_order"/>
    <x v="2"/>
    <s v="High_profit"/>
    <x v="8"/>
  </r>
  <r>
    <x v="26"/>
    <n v="3426"/>
    <n v="1019"/>
    <n v="2040"/>
    <n v="3"/>
    <n v="40"/>
    <x v="1"/>
    <x v="2"/>
    <s v="Skipping Rope"/>
    <x v="3"/>
    <n v="140"/>
    <n v="270"/>
    <n v="420"/>
    <n v="810"/>
    <n v="390"/>
    <n v="0.48148148148148145"/>
    <s v="Low_order"/>
    <x v="1"/>
    <s v="High_profit"/>
    <x v="3"/>
  </r>
  <r>
    <x v="246"/>
    <n v="3427"/>
    <n v="1013"/>
    <n v="2032"/>
    <n v="5"/>
    <n v="42"/>
    <x v="1"/>
    <x v="2"/>
    <s v="Desk Lamp"/>
    <x v="1"/>
    <n v="140"/>
    <n v="390"/>
    <n v="700"/>
    <n v="1950"/>
    <n v="1250"/>
    <n v="0.64102564102564108"/>
    <s v="Medium_order"/>
    <x v="0"/>
    <s v="High_profit"/>
    <x v="5"/>
  </r>
  <r>
    <x v="182"/>
    <n v="3428"/>
    <n v="1014"/>
    <n v="2024"/>
    <n v="10"/>
    <n v="26"/>
    <x v="0"/>
    <x v="0"/>
    <s v="Stapler"/>
    <x v="1"/>
    <n v="170"/>
    <n v="280"/>
    <n v="1700"/>
    <n v="2800"/>
    <n v="1100"/>
    <n v="0.39285714285714285"/>
    <s v="High_order"/>
    <x v="2"/>
    <s v="Medium_profit"/>
    <x v="2"/>
  </r>
  <r>
    <x v="217"/>
    <n v="3429"/>
    <n v="1015"/>
    <n v="2014"/>
    <n v="9"/>
    <n v="58"/>
    <x v="0"/>
    <x v="3"/>
    <s v="Organizer"/>
    <x v="1"/>
    <n v="70"/>
    <n v="210"/>
    <n v="630"/>
    <n v="1890"/>
    <n v="1260"/>
    <n v="0.66666666666666663"/>
    <s v="Medium_order"/>
    <x v="0"/>
    <s v="High_profit"/>
    <x v="2"/>
  </r>
  <r>
    <x v="247"/>
    <n v="3430"/>
    <n v="1009"/>
    <n v="2030"/>
    <n v="6"/>
    <n v="46"/>
    <x v="0"/>
    <x v="1"/>
    <s v="Power Bank"/>
    <x v="2"/>
    <n v="50"/>
    <n v="220"/>
    <n v="300"/>
    <n v="1320"/>
    <n v="1020"/>
    <n v="0.77272727272727271"/>
    <s v="Medium_order"/>
    <x v="0"/>
    <s v="High_profit"/>
    <x v="11"/>
  </r>
  <r>
    <x v="59"/>
    <n v="3431"/>
    <n v="1018"/>
    <n v="2027"/>
    <n v="1"/>
    <n v="27"/>
    <x v="0"/>
    <x v="3"/>
    <s v="Resistance Band"/>
    <x v="3"/>
    <n v="310"/>
    <n v="480"/>
    <n v="310"/>
    <n v="480"/>
    <n v="170"/>
    <n v="0.35416666666666669"/>
    <s v="Low_order"/>
    <x v="2"/>
    <s v="Medium_profit"/>
    <x v="1"/>
  </r>
  <r>
    <x v="209"/>
    <n v="3432"/>
    <n v="1001"/>
    <n v="2016"/>
    <n v="8"/>
    <n v="29"/>
    <x v="0"/>
    <x v="3"/>
    <s v="Headphones"/>
    <x v="0"/>
    <n v="380"/>
    <n v="550"/>
    <n v="3040"/>
    <n v="4400"/>
    <n v="1360"/>
    <n v="0.30909090909090908"/>
    <s v="High_order"/>
    <x v="2"/>
    <s v="Low_profit"/>
    <x v="4"/>
  </r>
  <r>
    <x v="40"/>
    <n v="3433"/>
    <n v="1011"/>
    <n v="2039"/>
    <n v="4"/>
    <n v="52"/>
    <x v="0"/>
    <x v="0"/>
    <s v="Notebook"/>
    <x v="1"/>
    <n v="120"/>
    <n v="180"/>
    <n v="480"/>
    <n v="720"/>
    <n v="240"/>
    <n v="0.33333333333333331"/>
    <s v="Low_order"/>
    <x v="0"/>
    <s v="Medium_profit"/>
    <x v="2"/>
  </r>
  <r>
    <x v="197"/>
    <n v="3434"/>
    <n v="1017"/>
    <n v="2021"/>
    <n v="3"/>
    <n v="28"/>
    <x v="1"/>
    <x v="0"/>
    <s v="Dumbbells"/>
    <x v="3"/>
    <n v="120"/>
    <n v="200"/>
    <n v="360"/>
    <n v="600"/>
    <n v="240"/>
    <n v="0.4"/>
    <s v="Low_order"/>
    <x v="2"/>
    <s v="Medium_profit"/>
    <x v="8"/>
  </r>
  <r>
    <x v="154"/>
    <n v="3435"/>
    <n v="1003"/>
    <n v="2031"/>
    <n v="5"/>
    <n v="38"/>
    <x v="1"/>
    <x v="1"/>
    <s v="Mouse"/>
    <x v="0"/>
    <n v="140"/>
    <n v="350"/>
    <n v="700"/>
    <n v="1750"/>
    <n v="1050"/>
    <n v="0.6"/>
    <s v="Medium_order"/>
    <x v="1"/>
    <s v="High_profit"/>
    <x v="6"/>
  </r>
  <r>
    <x v="78"/>
    <n v="3436"/>
    <n v="1003"/>
    <n v="2036"/>
    <n v="9"/>
    <n v="30"/>
    <x v="1"/>
    <x v="0"/>
    <s v="Mouse"/>
    <x v="0"/>
    <n v="140"/>
    <n v="350"/>
    <n v="1260"/>
    <n v="3150"/>
    <n v="1890"/>
    <n v="0.6"/>
    <s v="High_order"/>
    <x v="2"/>
    <s v="High_profit"/>
    <x v="3"/>
  </r>
  <r>
    <x v="248"/>
    <n v="3437"/>
    <n v="1014"/>
    <n v="2014"/>
    <n v="3"/>
    <n v="58"/>
    <x v="0"/>
    <x v="3"/>
    <s v="Stapler"/>
    <x v="1"/>
    <n v="170"/>
    <n v="280"/>
    <n v="510"/>
    <n v="840"/>
    <n v="330"/>
    <n v="0.39285714285714285"/>
    <s v="Low_order"/>
    <x v="0"/>
    <s v="Medium_profit"/>
    <x v="11"/>
  </r>
  <r>
    <x v="164"/>
    <n v="3438"/>
    <n v="1019"/>
    <n v="2038"/>
    <n v="4"/>
    <n v="22"/>
    <x v="1"/>
    <x v="1"/>
    <s v="Skipping Rope"/>
    <x v="3"/>
    <n v="140"/>
    <n v="270"/>
    <n v="560"/>
    <n v="1080"/>
    <n v="520"/>
    <n v="0.48148148148148145"/>
    <s v="Low_order"/>
    <x v="2"/>
    <s v="High_profit"/>
    <x v="2"/>
  </r>
  <r>
    <x v="249"/>
    <n v="3439"/>
    <n v="1004"/>
    <n v="2032"/>
    <n v="2"/>
    <n v="42"/>
    <x v="1"/>
    <x v="2"/>
    <s v="Speaker"/>
    <x v="0"/>
    <n v="230"/>
    <n v="440"/>
    <n v="460"/>
    <n v="880"/>
    <n v="420"/>
    <n v="0.47727272727272729"/>
    <s v="Low_order"/>
    <x v="0"/>
    <s v="High_profit"/>
    <x v="6"/>
  </r>
  <r>
    <x v="12"/>
    <n v="3440"/>
    <n v="1013"/>
    <n v="2035"/>
    <n v="5"/>
    <n v="37"/>
    <x v="0"/>
    <x v="0"/>
    <s v="Desk Lamp"/>
    <x v="1"/>
    <n v="140"/>
    <n v="390"/>
    <n v="700"/>
    <n v="1950"/>
    <n v="1250"/>
    <n v="0.64102564102564108"/>
    <s v="Medium_order"/>
    <x v="1"/>
    <s v="High_profit"/>
    <x v="3"/>
  </r>
  <r>
    <x v="90"/>
    <n v="3441"/>
    <n v="1012"/>
    <n v="2004"/>
    <n v="5"/>
    <n v="25"/>
    <x v="1"/>
    <x v="4"/>
    <s v="Pen Set"/>
    <x v="1"/>
    <n v="380"/>
    <n v="510"/>
    <n v="1900"/>
    <n v="2550"/>
    <n v="650"/>
    <n v="0.25490196078431371"/>
    <s v="High_order"/>
    <x v="2"/>
    <s v="Low_profit"/>
    <x v="1"/>
  </r>
  <r>
    <x v="247"/>
    <n v="3442"/>
    <n v="1005"/>
    <n v="2015"/>
    <n v="7"/>
    <n v="40"/>
    <x v="1"/>
    <x v="0"/>
    <s v="Webcam"/>
    <x v="0"/>
    <n v="340"/>
    <n v="520"/>
    <n v="2380"/>
    <n v="3640"/>
    <n v="1260"/>
    <n v="0.34615384615384615"/>
    <s v="High_order"/>
    <x v="1"/>
    <s v="Medium_profit"/>
    <x v="11"/>
  </r>
  <r>
    <x v="250"/>
    <n v="3443"/>
    <n v="1020"/>
    <n v="2014"/>
    <n v="10"/>
    <n v="58"/>
    <x v="0"/>
    <x v="3"/>
    <s v="Water Bottle"/>
    <x v="3"/>
    <n v="400"/>
    <n v="560"/>
    <n v="4000"/>
    <n v="5600"/>
    <n v="1600"/>
    <n v="0.2857142857142857"/>
    <s v="High_order"/>
    <x v="0"/>
    <s v="Low_profit"/>
    <x v="7"/>
  </r>
  <r>
    <x v="224"/>
    <n v="3444"/>
    <n v="1005"/>
    <n v="2019"/>
    <n v="4"/>
    <n v="57"/>
    <x v="1"/>
    <x v="3"/>
    <s v="Webcam"/>
    <x v="0"/>
    <n v="340"/>
    <n v="520"/>
    <n v="1360"/>
    <n v="2080"/>
    <n v="720"/>
    <n v="0.34615384615384615"/>
    <s v="Medium_order"/>
    <x v="0"/>
    <s v="Medium_profit"/>
    <x v="9"/>
  </r>
  <r>
    <x v="251"/>
    <n v="3445"/>
    <n v="1017"/>
    <n v="2017"/>
    <n v="9"/>
    <n v="32"/>
    <x v="1"/>
    <x v="0"/>
    <s v="Dumbbells"/>
    <x v="3"/>
    <n v="120"/>
    <n v="200"/>
    <n v="1080"/>
    <n v="1800"/>
    <n v="720"/>
    <n v="0.4"/>
    <s v="Medium_order"/>
    <x v="1"/>
    <s v="Medium_profit"/>
    <x v="3"/>
  </r>
  <r>
    <x v="42"/>
    <n v="3446"/>
    <n v="1010"/>
    <n v="2050"/>
    <n v="9"/>
    <n v="54"/>
    <x v="0"/>
    <x v="0"/>
    <s v="Laptop Sleeve"/>
    <x v="2"/>
    <n v="290"/>
    <n v="470"/>
    <n v="2610"/>
    <n v="4230"/>
    <n v="1620"/>
    <n v="0.38297872340425532"/>
    <s v="High_order"/>
    <x v="0"/>
    <s v="Medium_profit"/>
    <x v="10"/>
  </r>
  <r>
    <x v="126"/>
    <n v="3447"/>
    <n v="1014"/>
    <n v="2032"/>
    <n v="5"/>
    <n v="42"/>
    <x v="1"/>
    <x v="2"/>
    <s v="Stapler"/>
    <x v="1"/>
    <n v="170"/>
    <n v="280"/>
    <n v="850"/>
    <n v="1400"/>
    <n v="550"/>
    <n v="0.39285714285714285"/>
    <s v="Medium_order"/>
    <x v="0"/>
    <s v="Medium_profit"/>
    <x v="6"/>
  </r>
  <r>
    <x v="34"/>
    <n v="3448"/>
    <n v="1018"/>
    <n v="2024"/>
    <n v="1"/>
    <n v="26"/>
    <x v="0"/>
    <x v="0"/>
    <s v="Resistance Band"/>
    <x v="3"/>
    <n v="310"/>
    <n v="480"/>
    <n v="310"/>
    <n v="480"/>
    <n v="170"/>
    <n v="0.35416666666666669"/>
    <s v="Low_order"/>
    <x v="2"/>
    <s v="Medium_profit"/>
    <x v="11"/>
  </r>
  <r>
    <x v="14"/>
    <n v="3449"/>
    <n v="1006"/>
    <n v="2014"/>
    <n v="7"/>
    <n v="58"/>
    <x v="0"/>
    <x v="3"/>
    <s v="Phone Case"/>
    <x v="2"/>
    <n v="320"/>
    <n v="430"/>
    <n v="2240"/>
    <n v="3010"/>
    <n v="770"/>
    <n v="0.2558139534883721"/>
    <s v="High_order"/>
    <x v="0"/>
    <s v="Low_profit"/>
    <x v="3"/>
  </r>
  <r>
    <x v="25"/>
    <n v="3450"/>
    <n v="1012"/>
    <n v="2023"/>
    <n v="5"/>
    <n v="41"/>
    <x v="1"/>
    <x v="0"/>
    <s v="Pen Set"/>
    <x v="1"/>
    <n v="380"/>
    <n v="510"/>
    <n v="1900"/>
    <n v="2550"/>
    <n v="650"/>
    <n v="0.25490196078431371"/>
    <s v="High_order"/>
    <x v="0"/>
    <s v="Low_profit"/>
    <x v="8"/>
  </r>
  <r>
    <x v="14"/>
    <n v="3451"/>
    <n v="1017"/>
    <n v="2049"/>
    <n v="10"/>
    <n v="44"/>
    <x v="0"/>
    <x v="0"/>
    <s v="Dumbbells"/>
    <x v="3"/>
    <n v="120"/>
    <n v="200"/>
    <n v="1200"/>
    <n v="2000"/>
    <n v="800"/>
    <n v="0.4"/>
    <s v="Medium_order"/>
    <x v="0"/>
    <s v="Medium_profit"/>
    <x v="3"/>
  </r>
  <r>
    <x v="61"/>
    <n v="3452"/>
    <n v="1006"/>
    <n v="2016"/>
    <n v="1"/>
    <n v="29"/>
    <x v="0"/>
    <x v="3"/>
    <s v="Phone Case"/>
    <x v="2"/>
    <n v="320"/>
    <n v="430"/>
    <n v="320"/>
    <n v="430"/>
    <n v="110"/>
    <n v="0.2558139534883721"/>
    <s v="Low_order"/>
    <x v="2"/>
    <s v="Low_profit"/>
    <x v="11"/>
  </r>
  <r>
    <x v="252"/>
    <n v="3453"/>
    <n v="1002"/>
    <n v="2033"/>
    <n v="6"/>
    <n v="43"/>
    <x v="0"/>
    <x v="2"/>
    <s v="Keyboard"/>
    <x v="0"/>
    <n v="230"/>
    <n v="400"/>
    <n v="1380"/>
    <n v="2400"/>
    <n v="1020"/>
    <n v="0.42499999999999999"/>
    <s v="Medium_order"/>
    <x v="0"/>
    <s v="High_profit"/>
    <x v="10"/>
  </r>
  <r>
    <x v="22"/>
    <n v="3454"/>
    <n v="1012"/>
    <n v="2033"/>
    <n v="1"/>
    <n v="43"/>
    <x v="0"/>
    <x v="2"/>
    <s v="Pen Set"/>
    <x v="1"/>
    <n v="380"/>
    <n v="510"/>
    <n v="380"/>
    <n v="510"/>
    <n v="130"/>
    <n v="0.25490196078431371"/>
    <s v="Low_order"/>
    <x v="0"/>
    <s v="Low_profit"/>
    <x v="2"/>
  </r>
  <r>
    <x v="72"/>
    <n v="3455"/>
    <n v="1007"/>
    <n v="2030"/>
    <n v="1"/>
    <n v="46"/>
    <x v="0"/>
    <x v="1"/>
    <s v="Charger"/>
    <x v="2"/>
    <n v="160"/>
    <n v="230"/>
    <n v="160"/>
    <n v="230"/>
    <n v="70"/>
    <n v="0.30434782608695654"/>
    <s v="Low_order"/>
    <x v="0"/>
    <s v="Low_profit"/>
    <x v="0"/>
  </r>
  <r>
    <x v="253"/>
    <n v="3456"/>
    <n v="1001"/>
    <n v="2021"/>
    <n v="4"/>
    <n v="28"/>
    <x v="1"/>
    <x v="0"/>
    <s v="Headphones"/>
    <x v="0"/>
    <n v="380"/>
    <n v="550"/>
    <n v="1520"/>
    <n v="2200"/>
    <n v="680"/>
    <n v="0.30909090909090908"/>
    <s v="Medium_order"/>
    <x v="2"/>
    <s v="Low_profit"/>
    <x v="11"/>
  </r>
  <r>
    <x v="174"/>
    <n v="3457"/>
    <n v="1007"/>
    <n v="2030"/>
    <n v="5"/>
    <n v="46"/>
    <x v="0"/>
    <x v="1"/>
    <s v="Charger"/>
    <x v="2"/>
    <n v="160"/>
    <n v="230"/>
    <n v="800"/>
    <n v="1150"/>
    <n v="350"/>
    <n v="0.30434782608695654"/>
    <s v="Low_order"/>
    <x v="0"/>
    <s v="Low_profit"/>
    <x v="4"/>
  </r>
  <r>
    <x v="254"/>
    <n v="3458"/>
    <n v="1012"/>
    <n v="2038"/>
    <n v="10"/>
    <n v="22"/>
    <x v="1"/>
    <x v="1"/>
    <s v="Pen Set"/>
    <x v="1"/>
    <n v="380"/>
    <n v="510"/>
    <n v="3800"/>
    <n v="5100"/>
    <n v="1300"/>
    <n v="0.25490196078431371"/>
    <s v="High_order"/>
    <x v="2"/>
    <s v="Low_profit"/>
    <x v="4"/>
  </r>
  <r>
    <x v="172"/>
    <n v="3459"/>
    <n v="1003"/>
    <n v="2005"/>
    <n v="1"/>
    <n v="56"/>
    <x v="0"/>
    <x v="2"/>
    <s v="Mouse"/>
    <x v="0"/>
    <n v="140"/>
    <n v="350"/>
    <n v="140"/>
    <n v="350"/>
    <n v="210"/>
    <n v="0.6"/>
    <s v="Low_order"/>
    <x v="0"/>
    <s v="High_profit"/>
    <x v="1"/>
  </r>
  <r>
    <x v="255"/>
    <n v="3460"/>
    <n v="1009"/>
    <n v="2024"/>
    <n v="8"/>
    <n v="26"/>
    <x v="0"/>
    <x v="0"/>
    <s v="Power Bank"/>
    <x v="2"/>
    <n v="50"/>
    <n v="220"/>
    <n v="400"/>
    <n v="1760"/>
    <n v="1360"/>
    <n v="0.77272727272727271"/>
    <s v="Medium_order"/>
    <x v="2"/>
    <s v="High_profit"/>
    <x v="3"/>
  </r>
  <r>
    <x v="24"/>
    <n v="3461"/>
    <n v="1019"/>
    <n v="2011"/>
    <n v="7"/>
    <n v="33"/>
    <x v="0"/>
    <x v="3"/>
    <s v="Skipping Rope"/>
    <x v="3"/>
    <n v="140"/>
    <n v="270"/>
    <n v="980"/>
    <n v="1890"/>
    <n v="910"/>
    <n v="0.48148148148148145"/>
    <s v="Medium_order"/>
    <x v="1"/>
    <s v="High_profit"/>
    <x v="7"/>
  </r>
  <r>
    <x v="22"/>
    <n v="3462"/>
    <n v="1015"/>
    <n v="2014"/>
    <n v="6"/>
    <n v="58"/>
    <x v="0"/>
    <x v="3"/>
    <s v="Organizer"/>
    <x v="1"/>
    <n v="70"/>
    <n v="210"/>
    <n v="420"/>
    <n v="1260"/>
    <n v="840"/>
    <n v="0.66666666666666663"/>
    <s v="Low_order"/>
    <x v="0"/>
    <s v="High_profit"/>
    <x v="2"/>
  </r>
  <r>
    <x v="256"/>
    <n v="3463"/>
    <n v="1005"/>
    <n v="2038"/>
    <n v="8"/>
    <n v="22"/>
    <x v="1"/>
    <x v="1"/>
    <s v="Webcam"/>
    <x v="0"/>
    <n v="340"/>
    <n v="520"/>
    <n v="2720"/>
    <n v="4160"/>
    <n v="1440"/>
    <n v="0.34615384615384615"/>
    <s v="High_order"/>
    <x v="2"/>
    <s v="Medium_profit"/>
    <x v="5"/>
  </r>
  <r>
    <x v="131"/>
    <n v="3464"/>
    <n v="1012"/>
    <n v="2004"/>
    <n v="4"/>
    <n v="25"/>
    <x v="1"/>
    <x v="4"/>
    <s v="Pen Set"/>
    <x v="1"/>
    <n v="380"/>
    <n v="510"/>
    <n v="1520"/>
    <n v="2040"/>
    <n v="520"/>
    <n v="0.25490196078431371"/>
    <s v="Medium_order"/>
    <x v="2"/>
    <s v="Low_profit"/>
    <x v="1"/>
  </r>
  <r>
    <x v="132"/>
    <n v="3465"/>
    <n v="1020"/>
    <n v="2018"/>
    <n v="5"/>
    <n v="38"/>
    <x v="0"/>
    <x v="4"/>
    <s v="Water Bottle"/>
    <x v="3"/>
    <n v="400"/>
    <n v="560"/>
    <n v="2000"/>
    <n v="2800"/>
    <n v="800"/>
    <n v="0.2857142857142857"/>
    <s v="High_order"/>
    <x v="1"/>
    <s v="Low_profit"/>
    <x v="7"/>
  </r>
  <r>
    <x v="136"/>
    <n v="3466"/>
    <n v="1004"/>
    <n v="2007"/>
    <n v="4"/>
    <n v="34"/>
    <x v="1"/>
    <x v="1"/>
    <s v="Speaker"/>
    <x v="0"/>
    <n v="230"/>
    <n v="440"/>
    <n v="920"/>
    <n v="1760"/>
    <n v="840"/>
    <n v="0.47727272727272729"/>
    <s v="Medium_order"/>
    <x v="1"/>
    <s v="High_profit"/>
    <x v="9"/>
  </r>
  <r>
    <x v="225"/>
    <n v="3467"/>
    <n v="1012"/>
    <n v="2030"/>
    <n v="8"/>
    <n v="46"/>
    <x v="0"/>
    <x v="1"/>
    <s v="Pen Set"/>
    <x v="1"/>
    <n v="380"/>
    <n v="510"/>
    <n v="3040"/>
    <n v="4080"/>
    <n v="1040"/>
    <n v="0.25490196078431371"/>
    <s v="High_order"/>
    <x v="0"/>
    <s v="Low_profit"/>
    <x v="6"/>
  </r>
  <r>
    <x v="154"/>
    <n v="3468"/>
    <n v="1004"/>
    <n v="2004"/>
    <n v="4"/>
    <n v="25"/>
    <x v="1"/>
    <x v="4"/>
    <s v="Speaker"/>
    <x v="0"/>
    <n v="230"/>
    <n v="440"/>
    <n v="920"/>
    <n v="1760"/>
    <n v="840"/>
    <n v="0.47727272727272729"/>
    <s v="Medium_order"/>
    <x v="2"/>
    <s v="High_profit"/>
    <x v="6"/>
  </r>
  <r>
    <x v="43"/>
    <n v="3469"/>
    <n v="1008"/>
    <n v="2032"/>
    <n v="4"/>
    <n v="42"/>
    <x v="1"/>
    <x v="2"/>
    <s v="USB Cable"/>
    <x v="2"/>
    <n v="340"/>
    <n v="430"/>
    <n v="1360"/>
    <n v="1720"/>
    <n v="360"/>
    <n v="0.20930232558139536"/>
    <s v="Medium_order"/>
    <x v="0"/>
    <s v="Low_profit"/>
    <x v="8"/>
  </r>
  <r>
    <x v="257"/>
    <n v="3470"/>
    <n v="1002"/>
    <n v="2015"/>
    <n v="9"/>
    <n v="40"/>
    <x v="1"/>
    <x v="0"/>
    <s v="Keyboard"/>
    <x v="0"/>
    <n v="230"/>
    <n v="400"/>
    <n v="2070"/>
    <n v="3600"/>
    <n v="1530"/>
    <n v="0.42499999999999999"/>
    <s v="High_order"/>
    <x v="1"/>
    <s v="High_profit"/>
    <x v="1"/>
  </r>
  <r>
    <x v="184"/>
    <n v="3471"/>
    <n v="1010"/>
    <n v="2040"/>
    <n v="8"/>
    <n v="40"/>
    <x v="1"/>
    <x v="2"/>
    <s v="Laptop Sleeve"/>
    <x v="2"/>
    <n v="290"/>
    <n v="470"/>
    <n v="2320"/>
    <n v="3760"/>
    <n v="1440"/>
    <n v="0.38297872340425532"/>
    <s v="High_order"/>
    <x v="1"/>
    <s v="Medium_profit"/>
    <x v="6"/>
  </r>
  <r>
    <x v="160"/>
    <n v="3472"/>
    <n v="1018"/>
    <n v="2014"/>
    <n v="3"/>
    <n v="58"/>
    <x v="0"/>
    <x v="3"/>
    <s v="Resistance Band"/>
    <x v="3"/>
    <n v="310"/>
    <n v="480"/>
    <n v="930"/>
    <n v="1440"/>
    <n v="510"/>
    <n v="0.35416666666666669"/>
    <s v="Medium_order"/>
    <x v="0"/>
    <s v="Medium_profit"/>
    <x v="2"/>
  </r>
  <r>
    <x v="212"/>
    <n v="3473"/>
    <n v="1008"/>
    <n v="2013"/>
    <n v="7"/>
    <n v="37"/>
    <x v="1"/>
    <x v="2"/>
    <s v="USB Cable"/>
    <x v="2"/>
    <n v="340"/>
    <n v="430"/>
    <n v="2380"/>
    <n v="3010"/>
    <n v="630"/>
    <n v="0.20930232558139536"/>
    <s v="High_order"/>
    <x v="1"/>
    <s v="Low_profit"/>
    <x v="2"/>
  </r>
  <r>
    <x v="258"/>
    <n v="3474"/>
    <n v="1007"/>
    <n v="2006"/>
    <n v="9"/>
    <n v="32"/>
    <x v="1"/>
    <x v="2"/>
    <s v="Charger"/>
    <x v="2"/>
    <n v="160"/>
    <n v="230"/>
    <n v="1440"/>
    <n v="2070"/>
    <n v="630"/>
    <n v="0.30434782608695654"/>
    <s v="Medium_order"/>
    <x v="1"/>
    <s v="Low_profit"/>
    <x v="0"/>
  </r>
  <r>
    <x v="5"/>
    <n v="3475"/>
    <n v="1012"/>
    <n v="2033"/>
    <n v="2"/>
    <n v="43"/>
    <x v="0"/>
    <x v="2"/>
    <s v="Pen Set"/>
    <x v="1"/>
    <n v="380"/>
    <n v="510"/>
    <n v="760"/>
    <n v="1020"/>
    <n v="260"/>
    <n v="0.25490196078431371"/>
    <s v="Low_order"/>
    <x v="0"/>
    <s v="Low_profit"/>
    <x v="4"/>
  </r>
  <r>
    <x v="259"/>
    <n v="3476"/>
    <n v="1012"/>
    <n v="2003"/>
    <n v="7"/>
    <n v="23"/>
    <x v="0"/>
    <x v="1"/>
    <s v="Pen Set"/>
    <x v="1"/>
    <n v="380"/>
    <n v="510"/>
    <n v="2660"/>
    <n v="3570"/>
    <n v="910"/>
    <n v="0.25490196078431371"/>
    <s v="High_order"/>
    <x v="2"/>
    <s v="Low_profit"/>
    <x v="11"/>
  </r>
  <r>
    <x v="14"/>
    <n v="3477"/>
    <n v="1004"/>
    <n v="2005"/>
    <n v="3"/>
    <n v="56"/>
    <x v="0"/>
    <x v="2"/>
    <s v="Speaker"/>
    <x v="0"/>
    <n v="230"/>
    <n v="440"/>
    <n v="690"/>
    <n v="1320"/>
    <n v="630"/>
    <n v="0.47727272727272729"/>
    <s v="Medium_order"/>
    <x v="0"/>
    <s v="High_profit"/>
    <x v="3"/>
  </r>
  <r>
    <x v="13"/>
    <n v="3478"/>
    <n v="1006"/>
    <n v="2029"/>
    <n v="10"/>
    <n v="53"/>
    <x v="1"/>
    <x v="0"/>
    <s v="Phone Case"/>
    <x v="2"/>
    <n v="320"/>
    <n v="430"/>
    <n v="3200"/>
    <n v="4300"/>
    <n v="1100"/>
    <n v="0.2558139534883721"/>
    <s v="High_order"/>
    <x v="0"/>
    <s v="Low_profit"/>
    <x v="5"/>
  </r>
  <r>
    <x v="255"/>
    <n v="3479"/>
    <n v="1015"/>
    <n v="2005"/>
    <n v="8"/>
    <n v="56"/>
    <x v="0"/>
    <x v="2"/>
    <s v="Organizer"/>
    <x v="1"/>
    <n v="70"/>
    <n v="210"/>
    <n v="560"/>
    <n v="1680"/>
    <n v="1120"/>
    <n v="0.66666666666666663"/>
    <s v="Medium_order"/>
    <x v="0"/>
    <s v="High_profit"/>
    <x v="3"/>
  </r>
  <r>
    <x v="219"/>
    <n v="3480"/>
    <n v="1001"/>
    <n v="2048"/>
    <n v="5"/>
    <n v="41"/>
    <x v="0"/>
    <x v="5"/>
    <s v="Headphones"/>
    <x v="0"/>
    <n v="380"/>
    <n v="550"/>
    <n v="1900"/>
    <n v="2750"/>
    <n v="850"/>
    <n v="0.30909090909090908"/>
    <s v="High_order"/>
    <x v="0"/>
    <s v="Low_profit"/>
    <x v="9"/>
  </r>
  <r>
    <x v="260"/>
    <n v="3481"/>
    <n v="1014"/>
    <n v="2011"/>
    <n v="2"/>
    <n v="33"/>
    <x v="0"/>
    <x v="3"/>
    <s v="Stapler"/>
    <x v="1"/>
    <n v="170"/>
    <n v="280"/>
    <n v="340"/>
    <n v="560"/>
    <n v="220"/>
    <n v="0.39285714285714285"/>
    <s v="Low_order"/>
    <x v="1"/>
    <s v="Medium_profit"/>
    <x v="7"/>
  </r>
  <r>
    <x v="211"/>
    <n v="3482"/>
    <n v="1002"/>
    <n v="2036"/>
    <n v="3"/>
    <n v="30"/>
    <x v="1"/>
    <x v="0"/>
    <s v="Keyboard"/>
    <x v="0"/>
    <n v="230"/>
    <n v="400"/>
    <n v="690"/>
    <n v="1200"/>
    <n v="510"/>
    <n v="0.42499999999999999"/>
    <s v="Low_order"/>
    <x v="2"/>
    <s v="High_profit"/>
    <x v="4"/>
  </r>
  <r>
    <x v="88"/>
    <n v="3483"/>
    <n v="1020"/>
    <n v="2041"/>
    <n v="5"/>
    <n v="28"/>
    <x v="1"/>
    <x v="4"/>
    <s v="Water Bottle"/>
    <x v="3"/>
    <n v="400"/>
    <n v="560"/>
    <n v="2000"/>
    <n v="2800"/>
    <n v="800"/>
    <n v="0.2857142857142857"/>
    <s v="High_order"/>
    <x v="2"/>
    <s v="Low_profit"/>
    <x v="4"/>
  </r>
  <r>
    <x v="221"/>
    <n v="3484"/>
    <n v="1004"/>
    <n v="2049"/>
    <n v="10"/>
    <n v="44"/>
    <x v="0"/>
    <x v="0"/>
    <s v="Speaker"/>
    <x v="0"/>
    <n v="230"/>
    <n v="440"/>
    <n v="2300"/>
    <n v="4400"/>
    <n v="2100"/>
    <n v="0.47727272727272729"/>
    <s v="High_order"/>
    <x v="0"/>
    <s v="High_profit"/>
    <x v="5"/>
  </r>
  <r>
    <x v="175"/>
    <n v="3485"/>
    <n v="1019"/>
    <n v="2001"/>
    <n v="6"/>
    <n v="44"/>
    <x v="1"/>
    <x v="0"/>
    <s v="Skipping Rope"/>
    <x v="3"/>
    <n v="140"/>
    <n v="270"/>
    <n v="840"/>
    <n v="1620"/>
    <n v="780"/>
    <n v="0.48148148148148145"/>
    <s v="Medium_order"/>
    <x v="0"/>
    <s v="High_profit"/>
    <x v="11"/>
  </r>
  <r>
    <x v="167"/>
    <n v="3486"/>
    <n v="1004"/>
    <n v="2005"/>
    <n v="9"/>
    <n v="56"/>
    <x v="0"/>
    <x v="2"/>
    <s v="Speaker"/>
    <x v="0"/>
    <n v="230"/>
    <n v="440"/>
    <n v="2070"/>
    <n v="3960"/>
    <n v="1890"/>
    <n v="0.47727272727272729"/>
    <s v="High_order"/>
    <x v="0"/>
    <s v="High_profit"/>
    <x v="11"/>
  </r>
  <r>
    <x v="254"/>
    <n v="3487"/>
    <n v="1010"/>
    <n v="2023"/>
    <n v="8"/>
    <n v="41"/>
    <x v="1"/>
    <x v="0"/>
    <s v="Laptop Sleeve"/>
    <x v="2"/>
    <n v="290"/>
    <n v="470"/>
    <n v="2320"/>
    <n v="3760"/>
    <n v="1440"/>
    <n v="0.38297872340425532"/>
    <s v="High_order"/>
    <x v="0"/>
    <s v="Medium_profit"/>
    <x v="4"/>
  </r>
  <r>
    <x v="186"/>
    <n v="3488"/>
    <n v="1005"/>
    <n v="2018"/>
    <n v="5"/>
    <n v="38"/>
    <x v="0"/>
    <x v="4"/>
    <s v="Webcam"/>
    <x v="0"/>
    <n v="340"/>
    <n v="520"/>
    <n v="1700"/>
    <n v="2600"/>
    <n v="900"/>
    <n v="0.34615384615384615"/>
    <s v="High_order"/>
    <x v="1"/>
    <s v="Medium_profit"/>
    <x v="0"/>
  </r>
  <r>
    <x v="261"/>
    <n v="3489"/>
    <n v="1013"/>
    <n v="2038"/>
    <n v="10"/>
    <n v="22"/>
    <x v="1"/>
    <x v="1"/>
    <s v="Desk Lamp"/>
    <x v="1"/>
    <n v="140"/>
    <n v="390"/>
    <n v="1400"/>
    <n v="3900"/>
    <n v="2500"/>
    <n v="0.64102564102564108"/>
    <s v="High_order"/>
    <x v="2"/>
    <s v="High_profit"/>
    <x v="7"/>
  </r>
  <r>
    <x v="187"/>
    <n v="3490"/>
    <n v="1004"/>
    <n v="2006"/>
    <n v="3"/>
    <n v="32"/>
    <x v="1"/>
    <x v="2"/>
    <s v="Speaker"/>
    <x v="0"/>
    <n v="230"/>
    <n v="440"/>
    <n v="690"/>
    <n v="1320"/>
    <n v="630"/>
    <n v="0.47727272727272729"/>
    <s v="Medium_order"/>
    <x v="1"/>
    <s v="High_profit"/>
    <x v="8"/>
  </r>
  <r>
    <x v="186"/>
    <n v="3491"/>
    <n v="1012"/>
    <n v="2026"/>
    <n v="6"/>
    <n v="27"/>
    <x v="0"/>
    <x v="5"/>
    <s v="Pen Set"/>
    <x v="1"/>
    <n v="380"/>
    <n v="510"/>
    <n v="2280"/>
    <n v="3060"/>
    <n v="780"/>
    <n v="0.25490196078431371"/>
    <s v="High_order"/>
    <x v="2"/>
    <s v="Low_profit"/>
    <x v="0"/>
  </r>
  <r>
    <x v="243"/>
    <n v="3492"/>
    <n v="1014"/>
    <n v="2027"/>
    <n v="6"/>
    <n v="27"/>
    <x v="0"/>
    <x v="3"/>
    <s v="Stapler"/>
    <x v="1"/>
    <n v="170"/>
    <n v="280"/>
    <n v="1020"/>
    <n v="1680"/>
    <n v="660"/>
    <n v="0.39285714285714285"/>
    <s v="Medium_order"/>
    <x v="2"/>
    <s v="Medium_profit"/>
    <x v="9"/>
  </r>
  <r>
    <x v="258"/>
    <n v="3493"/>
    <n v="1009"/>
    <n v="2031"/>
    <n v="10"/>
    <n v="38"/>
    <x v="1"/>
    <x v="1"/>
    <s v="Power Bank"/>
    <x v="2"/>
    <n v="50"/>
    <n v="220"/>
    <n v="500"/>
    <n v="2200"/>
    <n v="1700"/>
    <n v="0.77272727272727271"/>
    <s v="Medium_order"/>
    <x v="1"/>
    <s v="High_profit"/>
    <x v="0"/>
  </r>
  <r>
    <x v="262"/>
    <n v="3494"/>
    <n v="1017"/>
    <n v="2023"/>
    <n v="6"/>
    <n v="41"/>
    <x v="1"/>
    <x v="0"/>
    <s v="Dumbbells"/>
    <x v="3"/>
    <n v="120"/>
    <n v="200"/>
    <n v="720"/>
    <n v="1200"/>
    <n v="480"/>
    <n v="0.4"/>
    <s v="Low_order"/>
    <x v="0"/>
    <s v="Medium_profit"/>
    <x v="2"/>
  </r>
  <r>
    <x v="136"/>
    <n v="3495"/>
    <n v="1007"/>
    <n v="2011"/>
    <n v="7"/>
    <n v="33"/>
    <x v="0"/>
    <x v="3"/>
    <s v="Charger"/>
    <x v="2"/>
    <n v="160"/>
    <n v="230"/>
    <n v="1120"/>
    <n v="1610"/>
    <n v="490"/>
    <n v="0.30434782608695654"/>
    <s v="Medium_order"/>
    <x v="1"/>
    <s v="Low_profit"/>
    <x v="9"/>
  </r>
  <r>
    <x v="263"/>
    <n v="3496"/>
    <n v="1016"/>
    <n v="2040"/>
    <n v="8"/>
    <n v="40"/>
    <x v="1"/>
    <x v="2"/>
    <s v="Yoga Mat"/>
    <x v="3"/>
    <n v="330"/>
    <n v="490"/>
    <n v="2640"/>
    <n v="3920"/>
    <n v="1280"/>
    <n v="0.32653061224489793"/>
    <s v="High_order"/>
    <x v="1"/>
    <s v="Medium_profit"/>
    <x v="10"/>
  </r>
  <r>
    <x v="74"/>
    <n v="3497"/>
    <n v="1007"/>
    <n v="2003"/>
    <n v="5"/>
    <n v="23"/>
    <x v="0"/>
    <x v="1"/>
    <s v="Charger"/>
    <x v="2"/>
    <n v="160"/>
    <n v="230"/>
    <n v="800"/>
    <n v="1150"/>
    <n v="350"/>
    <n v="0.30434782608695654"/>
    <s v="Low_order"/>
    <x v="2"/>
    <s v="Low_profit"/>
    <x v="9"/>
  </r>
  <r>
    <x v="103"/>
    <n v="3498"/>
    <n v="1010"/>
    <n v="2049"/>
    <n v="4"/>
    <n v="44"/>
    <x v="0"/>
    <x v="0"/>
    <s v="Laptop Sleeve"/>
    <x v="2"/>
    <n v="290"/>
    <n v="470"/>
    <n v="1160"/>
    <n v="1880"/>
    <n v="720"/>
    <n v="0.38297872340425532"/>
    <s v="Medium_order"/>
    <x v="0"/>
    <s v="Medium_profit"/>
    <x v="3"/>
  </r>
  <r>
    <x v="10"/>
    <n v="3499"/>
    <n v="1020"/>
    <n v="2043"/>
    <n v="8"/>
    <n v="44"/>
    <x v="1"/>
    <x v="0"/>
    <s v="Water Bottle"/>
    <x v="3"/>
    <n v="400"/>
    <n v="560"/>
    <n v="3200"/>
    <n v="4480"/>
    <n v="1280"/>
    <n v="0.2857142857142857"/>
    <s v="High_order"/>
    <x v="0"/>
    <s v="Low_profit"/>
    <x v="3"/>
  </r>
  <r>
    <x v="264"/>
    <n v="3500"/>
    <n v="1004"/>
    <n v="2034"/>
    <n v="4"/>
    <n v="48"/>
    <x v="0"/>
    <x v="4"/>
    <s v="Speaker"/>
    <x v="0"/>
    <n v="230"/>
    <n v="440"/>
    <n v="920"/>
    <n v="1760"/>
    <n v="840"/>
    <n v="0.47727272727272729"/>
    <s v="Medium_order"/>
    <x v="0"/>
    <s v="High_profit"/>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6">
  <location ref="A34:B41" firstHeaderRow="1" firstDataRow="1" firstDataCol="1"/>
  <pivotFields count="20">
    <pivotField numFmtId="14" showAll="0"/>
    <pivotField showAll="0"/>
    <pivotField showAll="0"/>
    <pivotField showAll="0"/>
    <pivotField showAll="0"/>
    <pivotField showAll="0"/>
    <pivotField showAll="0"/>
    <pivotField axis="axisRow" showAll="0">
      <items count="7">
        <item x="1"/>
        <item x="3"/>
        <item x="0"/>
        <item x="2"/>
        <item x="5"/>
        <item x="4"/>
        <item t="default"/>
      </items>
    </pivotField>
    <pivotField showAll="0"/>
    <pivotField showAll="0">
      <items count="5">
        <item x="2"/>
        <item x="0"/>
        <item x="3"/>
        <item x="1"/>
        <item t="default"/>
      </items>
    </pivotField>
    <pivotField numFmtId="165" showAll="0"/>
    <pivotField numFmtId="165" showAll="0"/>
    <pivotField numFmtId="165" showAll="0"/>
    <pivotField numFmtId="165" showAll="0"/>
    <pivotField dataField="1" numFmtId="165" showAll="0"/>
    <pivotField numFmtId="9" showAll="0"/>
    <pivotField showAll="0"/>
    <pivotField showAll="0"/>
    <pivotField showAll="0"/>
    <pivotField showAll="0">
      <items count="13">
        <item x="6"/>
        <item x="5"/>
        <item x="4"/>
        <item x="2"/>
        <item x="0"/>
        <item x="9"/>
        <item x="8"/>
        <item x="3"/>
        <item x="10"/>
        <item x="1"/>
        <item x="11"/>
        <item x="7"/>
        <item t="default"/>
      </items>
    </pivotField>
  </pivotFields>
  <rowFields count="1">
    <field x="7"/>
  </rowFields>
  <rowItems count="7">
    <i>
      <x/>
    </i>
    <i>
      <x v="1"/>
    </i>
    <i>
      <x v="2"/>
    </i>
    <i>
      <x v="3"/>
    </i>
    <i>
      <x v="4"/>
    </i>
    <i>
      <x v="5"/>
    </i>
    <i t="grand">
      <x/>
    </i>
  </rowItems>
  <colItems count="1">
    <i/>
  </colItems>
  <dataFields count="1">
    <dataField name="Sum of Profit" fld="14"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 applyNumberFormats="0" applyBorderFormats="0" applyFontFormats="0" applyPatternFormats="0" applyAlignmentFormats="0" applyWidthHeightFormats="1" dataCaption="Values" updatedVersion="7" minRefreshableVersion="5" showCalcMbrs="0" useAutoFormatting="1" itemPrintTitles="1" createdVersion="3" indent="0" outline="1" outlineData="1" multipleFieldFilters="0" chartFormat="4">
  <location ref="A22:B27" firstHeaderRow="1" firstDataRow="1" firstDataCol="1"/>
  <pivotFields count="20">
    <pivotField numFmtId="14" showAll="0">
      <items count="266">
        <item x="210"/>
        <item x="185"/>
        <item x="96"/>
        <item x="16"/>
        <item x="85"/>
        <item x="177"/>
        <item x="143"/>
        <item x="93"/>
        <item x="33"/>
        <item x="92"/>
        <item x="154"/>
        <item x="41"/>
        <item x="18"/>
        <item x="126"/>
        <item x="184"/>
        <item x="249"/>
        <item x="15"/>
        <item x="225"/>
        <item x="169"/>
        <item x="140"/>
        <item x="60"/>
        <item x="240"/>
        <item x="151"/>
        <item x="13"/>
        <item x="7"/>
        <item x="23"/>
        <item x="229"/>
        <item x="113"/>
        <item x="156"/>
        <item x="101"/>
        <item x="159"/>
        <item x="223"/>
        <item x="30"/>
        <item x="8"/>
        <item x="144"/>
        <item x="58"/>
        <item x="104"/>
        <item x="105"/>
        <item x="35"/>
        <item x="246"/>
        <item x="53"/>
        <item x="221"/>
        <item x="196"/>
        <item x="256"/>
        <item x="51"/>
        <item x="45"/>
        <item x="88"/>
        <item x="111"/>
        <item x="118"/>
        <item x="239"/>
        <item x="203"/>
        <item x="52"/>
        <item x="206"/>
        <item x="119"/>
        <item x="211"/>
        <item x="145"/>
        <item x="209"/>
        <item x="11"/>
        <item x="254"/>
        <item x="124"/>
        <item x="120"/>
        <item x="57"/>
        <item x="5"/>
        <item x="174"/>
        <item x="50"/>
        <item x="146"/>
        <item x="227"/>
        <item x="242"/>
        <item x="102"/>
        <item x="234"/>
        <item x="3"/>
        <item x="212"/>
        <item x="182"/>
        <item x="217"/>
        <item x="178"/>
        <item x="160"/>
        <item x="76"/>
        <item x="200"/>
        <item x="22"/>
        <item x="81"/>
        <item x="164"/>
        <item x="17"/>
        <item x="199"/>
        <item x="9"/>
        <item x="188"/>
        <item x="6"/>
        <item x="40"/>
        <item x="262"/>
        <item x="222"/>
        <item x="168"/>
        <item x="235"/>
        <item x="68"/>
        <item x="48"/>
        <item x="83"/>
        <item x="161"/>
        <item x="204"/>
        <item x="75"/>
        <item x="258"/>
        <item x="186"/>
        <item x="38"/>
        <item x="157"/>
        <item x="193"/>
        <item x="2"/>
        <item x="94"/>
        <item x="72"/>
        <item x="192"/>
        <item x="133"/>
        <item x="0"/>
        <item x="194"/>
        <item x="243"/>
        <item x="32"/>
        <item x="233"/>
        <item x="224"/>
        <item x="62"/>
        <item x="74"/>
        <item x="108"/>
        <item x="215"/>
        <item x="142"/>
        <item x="241"/>
        <item x="228"/>
        <item x="89"/>
        <item x="202"/>
        <item x="46"/>
        <item x="176"/>
        <item x="219"/>
        <item x="27"/>
        <item x="67"/>
        <item x="116"/>
        <item x="55"/>
        <item x="136"/>
        <item x="77"/>
        <item x="65"/>
        <item x="130"/>
        <item x="153"/>
        <item x="195"/>
        <item x="155"/>
        <item x="71"/>
        <item x="84"/>
        <item x="197"/>
        <item x="115"/>
        <item x="43"/>
        <item x="117"/>
        <item x="187"/>
        <item x="125"/>
        <item x="139"/>
        <item x="25"/>
        <item x="245"/>
        <item x="70"/>
        <item x="36"/>
        <item x="214"/>
        <item x="179"/>
        <item x="134"/>
        <item x="238"/>
        <item x="97"/>
        <item x="255"/>
        <item x="171"/>
        <item x="64"/>
        <item x="4"/>
        <item x="107"/>
        <item x="129"/>
        <item x="14"/>
        <item x="220"/>
        <item x="103"/>
        <item x="79"/>
        <item x="10"/>
        <item x="98"/>
        <item x="122"/>
        <item x="12"/>
        <item x="170"/>
        <item x="128"/>
        <item x="251"/>
        <item x="26"/>
        <item x="78"/>
        <item x="138"/>
        <item x="100"/>
        <item x="244"/>
        <item x="226"/>
        <item x="152"/>
        <item x="123"/>
        <item x="237"/>
        <item x="158"/>
        <item x="252"/>
        <item x="56"/>
        <item x="127"/>
        <item x="44"/>
        <item x="230"/>
        <item x="42"/>
        <item x="31"/>
        <item x="29"/>
        <item x="190"/>
        <item x="263"/>
        <item x="141"/>
        <item x="106"/>
        <item x="114"/>
        <item x="99"/>
        <item x="59"/>
        <item x="86"/>
        <item x="39"/>
        <item x="172"/>
        <item x="150"/>
        <item x="54"/>
        <item x="165"/>
        <item x="148"/>
        <item x="149"/>
        <item x="257"/>
        <item x="90"/>
        <item x="181"/>
        <item x="49"/>
        <item x="1"/>
        <item x="19"/>
        <item x="121"/>
        <item x="131"/>
        <item x="135"/>
        <item x="207"/>
        <item x="82"/>
        <item x="37"/>
        <item x="247"/>
        <item x="208"/>
        <item x="216"/>
        <item x="189"/>
        <item x="61"/>
        <item x="162"/>
        <item x="109"/>
        <item x="63"/>
        <item x="213"/>
        <item x="69"/>
        <item x="259"/>
        <item x="167"/>
        <item x="218"/>
        <item x="66"/>
        <item x="34"/>
        <item x="253"/>
        <item x="95"/>
        <item x="198"/>
        <item x="91"/>
        <item x="87"/>
        <item x="173"/>
        <item x="175"/>
        <item x="163"/>
        <item x="147"/>
        <item x="248"/>
        <item x="28"/>
        <item x="232"/>
        <item x="205"/>
        <item x="264"/>
        <item x="80"/>
        <item x="24"/>
        <item x="191"/>
        <item x="236"/>
        <item x="250"/>
        <item x="183"/>
        <item x="73"/>
        <item x="260"/>
        <item x="180"/>
        <item x="110"/>
        <item x="47"/>
        <item x="20"/>
        <item x="132"/>
        <item x="112"/>
        <item x="201"/>
        <item x="261"/>
        <item x="166"/>
        <item x="137"/>
        <item x="21"/>
        <item x="231"/>
        <item t="default"/>
      </items>
    </pivotField>
    <pivotField showAll="0"/>
    <pivotField showAll="0"/>
    <pivotField showAll="0"/>
    <pivotField showAll="0"/>
    <pivotField showAll="0"/>
    <pivotField showAll="0">
      <items count="3">
        <item x="0"/>
        <item x="1"/>
        <item t="default"/>
      </items>
    </pivotField>
    <pivotField showAll="0">
      <items count="7">
        <item x="1"/>
        <item x="3"/>
        <item x="0"/>
        <item x="2"/>
        <item x="5"/>
        <item x="4"/>
        <item t="default"/>
      </items>
    </pivotField>
    <pivotField showAll="0"/>
    <pivotField axis="axisRow" showAll="0">
      <items count="5">
        <item x="2"/>
        <item x="0"/>
        <item x="3"/>
        <item x="1"/>
        <item t="default"/>
      </items>
    </pivotField>
    <pivotField numFmtId="165" showAll="0"/>
    <pivotField numFmtId="165" showAll="0"/>
    <pivotField numFmtId="165" showAll="0"/>
    <pivotField numFmtId="165" showAll="0"/>
    <pivotField dataField="1" numFmtId="165" showAll="0"/>
    <pivotField numFmtId="9" showAll="0"/>
    <pivotField showAll="0"/>
    <pivotField showAll="0"/>
    <pivotField showAll="0"/>
    <pivotField showAll="0">
      <items count="13">
        <item x="6"/>
        <item x="5"/>
        <item x="4"/>
        <item x="2"/>
        <item x="0"/>
        <item x="9"/>
        <item x="8"/>
        <item x="3"/>
        <item x="10"/>
        <item x="1"/>
        <item x="11"/>
        <item x="7"/>
        <item t="default"/>
      </items>
    </pivotField>
  </pivotFields>
  <rowFields count="1">
    <field x="9"/>
  </rowFields>
  <rowItems count="5">
    <i>
      <x/>
    </i>
    <i>
      <x v="1"/>
    </i>
    <i>
      <x v="2"/>
    </i>
    <i>
      <x v="3"/>
    </i>
    <i t="grand">
      <x/>
    </i>
  </rowItems>
  <colItems count="1">
    <i/>
  </colItems>
  <dataFields count="1">
    <dataField name="Sum of Profit" fld="1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7">
  <location ref="A2:C16" firstHeaderRow="1" firstDataRow="2" firstDataCol="1"/>
  <pivotFields count="20">
    <pivotField numFmtId="14"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dataField="1" numFmtId="165" showAll="0"/>
    <pivotField dataField="1" numFmtId="165" showAll="0"/>
    <pivotField numFmtId="9" showAll="0"/>
    <pivotField showAll="0"/>
    <pivotField showAll="0"/>
    <pivotField showAll="0"/>
    <pivotField axis="axisRow" showAll="0">
      <items count="13">
        <item x="6"/>
        <item x="5"/>
        <item x="4"/>
        <item x="2"/>
        <item x="0"/>
        <item x="9"/>
        <item x="8"/>
        <item x="3"/>
        <item x="10"/>
        <item x="1"/>
        <item x="11"/>
        <item x="7"/>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3" baseField="0" baseItem="0"/>
    <dataField name="Sum of Profit" fld="14"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8">
  <location ref="A45:B49" firstHeaderRow="1" firstDataRow="1" firstDataCol="1"/>
  <pivotFields count="20">
    <pivotField numFmtId="14" showAll="0"/>
    <pivotField showAll="0"/>
    <pivotField showAll="0"/>
    <pivotField showAll="0"/>
    <pivotField showAll="0"/>
    <pivotField showAll="0"/>
    <pivotField showAll="0"/>
    <pivotField showAll="0">
      <items count="7">
        <item x="1"/>
        <item x="3"/>
        <item x="0"/>
        <item x="2"/>
        <item x="5"/>
        <item x="4"/>
        <item t="default"/>
      </items>
    </pivotField>
    <pivotField showAll="0"/>
    <pivotField showAll="0">
      <items count="5">
        <item x="2"/>
        <item x="0"/>
        <item x="3"/>
        <item x="1"/>
        <item t="default"/>
      </items>
    </pivotField>
    <pivotField numFmtId="165" showAll="0"/>
    <pivotField numFmtId="165" showAll="0"/>
    <pivotField numFmtId="165" showAll="0"/>
    <pivotField dataField="1" numFmtId="165" showAll="0"/>
    <pivotField numFmtId="165" showAll="0"/>
    <pivotField numFmtId="9" showAll="0"/>
    <pivotField showAll="0"/>
    <pivotField axis="axisRow" showAll="0">
      <items count="4">
        <item x="1"/>
        <item x="0"/>
        <item x="2"/>
        <item t="default"/>
      </items>
    </pivotField>
    <pivotField showAll="0"/>
    <pivotField showAll="0">
      <items count="13">
        <item x="6"/>
        <item x="5"/>
        <item x="4"/>
        <item x="2"/>
        <item x="0"/>
        <item x="9"/>
        <item x="8"/>
        <item x="3"/>
        <item x="10"/>
        <item x="1"/>
        <item x="11"/>
        <item x="7"/>
        <item t="default"/>
      </items>
    </pivotField>
  </pivotFields>
  <rowFields count="1">
    <field x="17"/>
  </rowFields>
  <rowItems count="4">
    <i>
      <x/>
    </i>
    <i>
      <x v="1"/>
    </i>
    <i>
      <x v="2"/>
    </i>
    <i t="grand">
      <x/>
    </i>
  </rowItems>
  <colItems count="1">
    <i/>
  </colItems>
  <dataFields count="1">
    <dataField name="Sum of Revenue" fld="13"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7" count="1" selected="0">
            <x v="0"/>
          </reference>
        </references>
      </pivotArea>
    </chartFormat>
    <chartFormat chart="1" format="2">
      <pivotArea type="data" outline="0" fieldPosition="0">
        <references count="2">
          <reference field="4294967294" count="1" selected="0">
            <x v="0"/>
          </reference>
          <reference field="1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7" count="1" selected="0">
            <x v="0"/>
          </reference>
        </references>
      </pivotArea>
    </chartFormat>
    <chartFormat chart="7" format="10">
      <pivotArea type="data" outline="0" fieldPosition="0">
        <references count="2">
          <reference field="4294967294" count="1" selected="0">
            <x v="0"/>
          </reference>
          <reference field="17"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7" count="1" selected="0">
            <x v="0"/>
          </reference>
        </references>
      </pivotArea>
    </chartFormat>
    <chartFormat chart="5" format="7">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5FF27BF-4F7F-4179-8CE7-BC5645717D85}" sourceName="City">
  <pivotTables>
    <pivotTable tabId="8" name="PivotTable2"/>
  </pivotTables>
  <data>
    <tabular pivotCacheId="997385640">
      <items count="6">
        <i x="1" s="1"/>
        <i x="3" s="1"/>
        <i x="0" s="1"/>
        <i x="2"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F53DB7-2862-43B0-AE5D-08C61D5AABD5}" sourceName="Category">
  <pivotTables>
    <pivotTable tabId="8" name="PivotTable2"/>
  </pivotTables>
  <data>
    <tabular pivotCacheId="997385640">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5EA602B-6731-4529-8867-9FAB2D8B09A4}" sourceName="Gender">
  <pivotTables>
    <pivotTable tabId="8" name="PivotTable2"/>
  </pivotTables>
  <data>
    <tabular pivotCacheId="99738564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324A02E-C099-4FFA-B07F-964795A0DB4D}" cache="Slicer_City" caption="City" style="SlicerStyleLight4" rowHeight="234950"/>
  <slicer name="Category" xr10:uid="{CC842C02-EAE7-4A6B-9169-FEAD45D332F5}" cache="Slicer_Category" caption="Category" style="SlicerStyleLight4" rowHeight="234950"/>
  <slicer name="Gender" xr10:uid="{E5A1D606-34C1-45EE-BD80-C5E8FF744131}" cache="Slicer_Gender" caption="Gender"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501" totalsRowShown="0" headerRowDxfId="21" tableBorderDxfId="20">
  <tableColumns count="20">
    <tableColumn id="1" xr3:uid="{00000000-0010-0000-0000-000001000000}" name="Order_date" dataDxfId="19"/>
    <tableColumn id="2" xr3:uid="{00000000-0010-0000-0000-000002000000}" name="Order_ID" dataDxfId="18"/>
    <tableColumn id="3" xr3:uid="{00000000-0010-0000-0000-000003000000}" name="Product_ID" dataDxfId="17"/>
    <tableColumn id="4" xr3:uid="{00000000-0010-0000-0000-000004000000}" name="Customer_ID" dataDxfId="16"/>
    <tableColumn id="5" xr3:uid="{00000000-0010-0000-0000-000005000000}" name="Quantity" dataDxfId="15"/>
    <tableColumn id="6" xr3:uid="{00000000-0010-0000-0000-000006000000}" name="Age" dataDxfId="14">
      <calculatedColumnFormula>VLOOKUP(Sheet1!$D2,Customers!$A$1:$D$51,2,TRUE)</calculatedColumnFormula>
    </tableColumn>
    <tableColumn id="7" xr3:uid="{00000000-0010-0000-0000-000007000000}" name="Gender" dataDxfId="13">
      <calculatedColumnFormula>VLOOKUP(Sheet1!$D2,Customers!$A$1:$D$51,3,TRUE)</calculatedColumnFormula>
    </tableColumn>
    <tableColumn id="8" xr3:uid="{00000000-0010-0000-0000-000008000000}" name="City" dataDxfId="12">
      <calculatedColumnFormula>VLOOKUP(Sheet1!$D2,Customers!$A$1:$D$51,4,TRUE)</calculatedColumnFormula>
    </tableColumn>
    <tableColumn id="9" xr3:uid="{00000000-0010-0000-0000-000009000000}" name="Product_Name" dataDxfId="11">
      <calculatedColumnFormula>VLOOKUP($C2,Products!$A$1:$E$21,2,TRUE)</calculatedColumnFormula>
    </tableColumn>
    <tableColumn id="10" xr3:uid="{00000000-0010-0000-0000-00000A000000}" name="Category" dataDxfId="10">
      <calculatedColumnFormula>VLOOKUP($C2,Products!$A$1:$E$21,3,TRUE)</calculatedColumnFormula>
    </tableColumn>
    <tableColumn id="11" xr3:uid="{00000000-0010-0000-0000-00000B000000}" name="Unit_Cost" dataDxfId="9">
      <calculatedColumnFormula>VLOOKUP($C2,Products!$A$1:$E$21,4,TRUE)</calculatedColumnFormula>
    </tableColumn>
    <tableColumn id="12" xr3:uid="{00000000-0010-0000-0000-00000C000000}" name="Unit_Price" dataDxfId="8">
      <calculatedColumnFormula>VLOOKUP($C2,Products!$A$1:$E$21,5,TRUE)</calculatedColumnFormula>
    </tableColumn>
    <tableColumn id="13" xr3:uid="{00000000-0010-0000-0000-00000D000000}" name="Cost" dataDxfId="7">
      <calculatedColumnFormula>$K2*$E2</calculatedColumnFormula>
    </tableColumn>
    <tableColumn id="14" xr3:uid="{00000000-0010-0000-0000-00000E000000}" name="Revenue" dataDxfId="6">
      <calculatedColumnFormula>$L2*$E2</calculatedColumnFormula>
    </tableColumn>
    <tableColumn id="15" xr3:uid="{00000000-0010-0000-0000-00000F000000}" name="Profit" dataDxfId="5">
      <calculatedColumnFormula>$N2-$M2</calculatedColumnFormula>
    </tableColumn>
    <tableColumn id="16" xr3:uid="{00000000-0010-0000-0000-000010000000}" name="Profit_margin" dataDxfId="4" dataCellStyle="Percent">
      <calculatedColumnFormula>$O2/$N2</calculatedColumnFormula>
    </tableColumn>
    <tableColumn id="17" xr3:uid="{00000000-0010-0000-0000-000011000000}" name="Order_value_category" dataDxfId="3">
      <calculatedColumnFormula>IF($N2&lt;$N$508,"Low_order",IF($N2&lt;$N$509,"Medium_order","High_order"))</calculatedColumnFormula>
    </tableColumn>
    <tableColumn id="18" xr3:uid="{00000000-0010-0000-0000-000012000000}" name="Customer_age_group" dataDxfId="2">
      <calculatedColumnFormula>IF($F2&lt;$F$508,"Young",IF($F2&lt;$F$509,"Middle_age","Senior"))</calculatedColumnFormula>
    </tableColumn>
    <tableColumn id="19" xr3:uid="{00000000-0010-0000-0000-000013000000}" name="Profit_category" dataDxfId="1">
      <calculatedColumnFormula>IF(P2&lt;$P$508,"Low_profit",IF(P2&lt;$P$509,"Medium_profit","High_profit"))</calculatedColumnFormula>
    </tableColumn>
    <tableColumn id="20" xr3:uid="{00000000-0010-0000-0000-000014000000}" name="Month" dataDxfId="0">
      <calculatedColumnFormula>TEXT(A2,"MMM")</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Cambria-Calibri">
      <a:majorFont>
        <a:latin typeface="Cambria" panose="02040503050406030204"/>
        <a:ea typeface=""/>
        <a:cs typeface=""/>
        <a:font script="Jpan" typeface="ＭＳ Ｐゴシック"/>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7008090-5504-4563-BB65-B2C81848D3AA}" sourceName="Order_date">
  <pivotTables>
    <pivotTable tabId="8" name="PivotTable2"/>
  </pivotTables>
  <state minimalRefreshVersion="6" lastRefreshVersion="6" pivotCacheId="99738564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8D057F7-240E-466C-BB00-E6DA9F49E931}" cache="NativeTimeline_Order_date" caption="Order_date" level="1" selectionLevel="2" scrollPosition="2024-01-01T00:00:00"/>
</timeline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activeCell="B1" sqref="B1:E1"/>
    </sheetView>
  </sheetViews>
  <sheetFormatPr defaultRowHeight="14.4" x14ac:dyDescent="0.3"/>
  <sheetData>
    <row r="1" spans="1:5" x14ac:dyDescent="0.3">
      <c r="A1" t="s">
        <v>0</v>
      </c>
      <c r="B1" t="s">
        <v>1</v>
      </c>
      <c r="C1" t="s">
        <v>2</v>
      </c>
      <c r="D1" t="s">
        <v>3</v>
      </c>
      <c r="E1" t="s">
        <v>4</v>
      </c>
    </row>
    <row r="2" spans="1:5" x14ac:dyDescent="0.3">
      <c r="A2">
        <v>1001</v>
      </c>
      <c r="B2" t="s">
        <v>5</v>
      </c>
      <c r="C2" t="s">
        <v>6</v>
      </c>
      <c r="D2">
        <v>380</v>
      </c>
      <c r="E2">
        <v>550</v>
      </c>
    </row>
    <row r="3" spans="1:5" x14ac:dyDescent="0.3">
      <c r="A3">
        <v>1002</v>
      </c>
      <c r="B3" t="s">
        <v>7</v>
      </c>
      <c r="C3" t="s">
        <v>6</v>
      </c>
      <c r="D3">
        <v>230</v>
      </c>
      <c r="E3">
        <v>400</v>
      </c>
    </row>
    <row r="4" spans="1:5" x14ac:dyDescent="0.3">
      <c r="A4">
        <v>1003</v>
      </c>
      <c r="B4" t="s">
        <v>8</v>
      </c>
      <c r="C4" t="s">
        <v>6</v>
      </c>
      <c r="D4">
        <v>140</v>
      </c>
      <c r="E4">
        <v>350</v>
      </c>
    </row>
    <row r="5" spans="1:5" x14ac:dyDescent="0.3">
      <c r="A5">
        <v>1004</v>
      </c>
      <c r="B5" t="s">
        <v>9</v>
      </c>
      <c r="C5" t="s">
        <v>6</v>
      </c>
      <c r="D5">
        <v>230</v>
      </c>
      <c r="E5">
        <v>440</v>
      </c>
    </row>
    <row r="6" spans="1:5" x14ac:dyDescent="0.3">
      <c r="A6">
        <v>1005</v>
      </c>
      <c r="B6" t="s">
        <v>10</v>
      </c>
      <c r="C6" t="s">
        <v>6</v>
      </c>
      <c r="D6">
        <v>340</v>
      </c>
      <c r="E6">
        <v>520</v>
      </c>
    </row>
    <row r="7" spans="1:5" x14ac:dyDescent="0.3">
      <c r="A7">
        <v>1006</v>
      </c>
      <c r="B7" t="s">
        <v>11</v>
      </c>
      <c r="C7" t="s">
        <v>12</v>
      </c>
      <c r="D7">
        <v>320</v>
      </c>
      <c r="E7">
        <v>430</v>
      </c>
    </row>
    <row r="8" spans="1:5" x14ac:dyDescent="0.3">
      <c r="A8">
        <v>1007</v>
      </c>
      <c r="B8" t="s">
        <v>13</v>
      </c>
      <c r="C8" t="s">
        <v>12</v>
      </c>
      <c r="D8">
        <v>160</v>
      </c>
      <c r="E8">
        <v>230</v>
      </c>
    </row>
    <row r="9" spans="1:5" x14ac:dyDescent="0.3">
      <c r="A9">
        <v>1008</v>
      </c>
      <c r="B9" t="s">
        <v>14</v>
      </c>
      <c r="C9" t="s">
        <v>12</v>
      </c>
      <c r="D9">
        <v>340</v>
      </c>
      <c r="E9">
        <v>430</v>
      </c>
    </row>
    <row r="10" spans="1:5" x14ac:dyDescent="0.3">
      <c r="A10">
        <v>1009</v>
      </c>
      <c r="B10" t="s">
        <v>15</v>
      </c>
      <c r="C10" t="s">
        <v>12</v>
      </c>
      <c r="D10">
        <v>50</v>
      </c>
      <c r="E10">
        <v>220</v>
      </c>
    </row>
    <row r="11" spans="1:5" x14ac:dyDescent="0.3">
      <c r="A11">
        <v>1010</v>
      </c>
      <c r="B11" t="s">
        <v>16</v>
      </c>
      <c r="C11" t="s">
        <v>12</v>
      </c>
      <c r="D11">
        <v>290</v>
      </c>
      <c r="E11">
        <v>470</v>
      </c>
    </row>
    <row r="12" spans="1:5" x14ac:dyDescent="0.3">
      <c r="A12">
        <v>1011</v>
      </c>
      <c r="B12" t="s">
        <v>17</v>
      </c>
      <c r="C12" t="s">
        <v>18</v>
      </c>
      <c r="D12">
        <v>120</v>
      </c>
      <c r="E12">
        <v>180</v>
      </c>
    </row>
    <row r="13" spans="1:5" x14ac:dyDescent="0.3">
      <c r="A13">
        <v>1012</v>
      </c>
      <c r="B13" t="s">
        <v>19</v>
      </c>
      <c r="C13" t="s">
        <v>18</v>
      </c>
      <c r="D13">
        <v>380</v>
      </c>
      <c r="E13">
        <v>510</v>
      </c>
    </row>
    <row r="14" spans="1:5" x14ac:dyDescent="0.3">
      <c r="A14">
        <v>1013</v>
      </c>
      <c r="B14" t="s">
        <v>20</v>
      </c>
      <c r="C14" t="s">
        <v>18</v>
      </c>
      <c r="D14">
        <v>140</v>
      </c>
      <c r="E14">
        <v>390</v>
      </c>
    </row>
    <row r="15" spans="1:5" x14ac:dyDescent="0.3">
      <c r="A15">
        <v>1014</v>
      </c>
      <c r="B15" t="s">
        <v>21</v>
      </c>
      <c r="C15" t="s">
        <v>18</v>
      </c>
      <c r="D15">
        <v>170</v>
      </c>
      <c r="E15">
        <v>280</v>
      </c>
    </row>
    <row r="16" spans="1:5" x14ac:dyDescent="0.3">
      <c r="A16">
        <v>1015</v>
      </c>
      <c r="B16" t="s">
        <v>22</v>
      </c>
      <c r="C16" t="s">
        <v>18</v>
      </c>
      <c r="D16">
        <v>70</v>
      </c>
      <c r="E16">
        <v>210</v>
      </c>
    </row>
    <row r="17" spans="1:5" x14ac:dyDescent="0.3">
      <c r="A17">
        <v>1016</v>
      </c>
      <c r="B17" t="s">
        <v>23</v>
      </c>
      <c r="C17" t="s">
        <v>24</v>
      </c>
      <c r="D17">
        <v>330</v>
      </c>
      <c r="E17">
        <v>490</v>
      </c>
    </row>
    <row r="18" spans="1:5" x14ac:dyDescent="0.3">
      <c r="A18">
        <v>1017</v>
      </c>
      <c r="B18" t="s">
        <v>25</v>
      </c>
      <c r="C18" t="s">
        <v>24</v>
      </c>
      <c r="D18">
        <v>120</v>
      </c>
      <c r="E18">
        <v>200</v>
      </c>
    </row>
    <row r="19" spans="1:5" x14ac:dyDescent="0.3">
      <c r="A19">
        <v>1018</v>
      </c>
      <c r="B19" t="s">
        <v>26</v>
      </c>
      <c r="C19" t="s">
        <v>24</v>
      </c>
      <c r="D19">
        <v>310</v>
      </c>
      <c r="E19">
        <v>480</v>
      </c>
    </row>
    <row r="20" spans="1:5" x14ac:dyDescent="0.3">
      <c r="A20">
        <v>1019</v>
      </c>
      <c r="B20" t="s">
        <v>27</v>
      </c>
      <c r="C20" t="s">
        <v>24</v>
      </c>
      <c r="D20">
        <v>140</v>
      </c>
      <c r="E20">
        <v>270</v>
      </c>
    </row>
    <row r="21" spans="1:5" x14ac:dyDescent="0.3">
      <c r="A21">
        <v>1020</v>
      </c>
      <c r="B21" t="s">
        <v>28</v>
      </c>
      <c r="C21" t="s">
        <v>24</v>
      </c>
      <c r="D21">
        <v>400</v>
      </c>
      <c r="E21">
        <v>560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heetViews>
  <sheetFormatPr defaultRowHeight="14.4" x14ac:dyDescent="0.3"/>
  <sheetData>
    <row r="1" spans="1:4" x14ac:dyDescent="0.3">
      <c r="A1" t="s">
        <v>29</v>
      </c>
      <c r="B1" t="s">
        <v>30</v>
      </c>
      <c r="C1" t="s">
        <v>31</v>
      </c>
      <c r="D1" t="s">
        <v>32</v>
      </c>
    </row>
    <row r="2" spans="1:4" x14ac:dyDescent="0.3">
      <c r="A2">
        <v>2001</v>
      </c>
      <c r="B2">
        <v>44</v>
      </c>
      <c r="C2" t="s">
        <v>33</v>
      </c>
      <c r="D2" t="s">
        <v>34</v>
      </c>
    </row>
    <row r="3" spans="1:4" x14ac:dyDescent="0.3">
      <c r="A3">
        <v>2002</v>
      </c>
      <c r="B3">
        <v>33</v>
      </c>
      <c r="C3" t="s">
        <v>33</v>
      </c>
      <c r="D3" t="s">
        <v>34</v>
      </c>
    </row>
    <row r="4" spans="1:4" x14ac:dyDescent="0.3">
      <c r="A4">
        <v>2003</v>
      </c>
      <c r="B4">
        <v>23</v>
      </c>
      <c r="C4" t="s">
        <v>35</v>
      </c>
      <c r="D4" t="s">
        <v>36</v>
      </c>
    </row>
    <row r="5" spans="1:4" x14ac:dyDescent="0.3">
      <c r="A5">
        <v>2004</v>
      </c>
      <c r="B5">
        <v>25</v>
      </c>
      <c r="C5" t="s">
        <v>33</v>
      </c>
      <c r="D5" t="s">
        <v>37</v>
      </c>
    </row>
    <row r="6" spans="1:4" x14ac:dyDescent="0.3">
      <c r="A6">
        <v>2005</v>
      </c>
      <c r="B6">
        <v>56</v>
      </c>
      <c r="C6" t="s">
        <v>35</v>
      </c>
      <c r="D6" t="s">
        <v>38</v>
      </c>
    </row>
    <row r="7" spans="1:4" x14ac:dyDescent="0.3">
      <c r="A7">
        <v>2006</v>
      </c>
      <c r="B7">
        <v>32</v>
      </c>
      <c r="C7" t="s">
        <v>33</v>
      </c>
      <c r="D7" t="s">
        <v>38</v>
      </c>
    </row>
    <row r="8" spans="1:4" x14ac:dyDescent="0.3">
      <c r="A8">
        <v>2007</v>
      </c>
      <c r="B8">
        <v>34</v>
      </c>
      <c r="C8" t="s">
        <v>33</v>
      </c>
      <c r="D8" t="s">
        <v>36</v>
      </c>
    </row>
    <row r="9" spans="1:4" x14ac:dyDescent="0.3">
      <c r="A9">
        <v>2008</v>
      </c>
      <c r="B9">
        <v>36</v>
      </c>
      <c r="C9" t="s">
        <v>33</v>
      </c>
      <c r="D9" t="s">
        <v>39</v>
      </c>
    </row>
    <row r="10" spans="1:4" x14ac:dyDescent="0.3">
      <c r="A10">
        <v>2009</v>
      </c>
      <c r="B10">
        <v>57</v>
      </c>
      <c r="C10" t="s">
        <v>35</v>
      </c>
      <c r="D10" t="s">
        <v>37</v>
      </c>
    </row>
    <row r="11" spans="1:4" x14ac:dyDescent="0.3">
      <c r="A11">
        <v>2010</v>
      </c>
      <c r="B11">
        <v>38</v>
      </c>
      <c r="C11" t="s">
        <v>35</v>
      </c>
      <c r="D11" t="s">
        <v>39</v>
      </c>
    </row>
    <row r="12" spans="1:4" x14ac:dyDescent="0.3">
      <c r="A12">
        <v>2011</v>
      </c>
      <c r="B12">
        <v>33</v>
      </c>
      <c r="C12" t="s">
        <v>35</v>
      </c>
      <c r="D12" t="s">
        <v>40</v>
      </c>
    </row>
    <row r="13" spans="1:4" x14ac:dyDescent="0.3">
      <c r="A13">
        <v>2012</v>
      </c>
      <c r="B13">
        <v>21</v>
      </c>
      <c r="C13" t="s">
        <v>35</v>
      </c>
      <c r="D13" t="s">
        <v>38</v>
      </c>
    </row>
    <row r="14" spans="1:4" x14ac:dyDescent="0.3">
      <c r="A14">
        <v>2013</v>
      </c>
      <c r="B14">
        <v>37</v>
      </c>
      <c r="C14" t="s">
        <v>33</v>
      </c>
      <c r="D14" t="s">
        <v>38</v>
      </c>
    </row>
    <row r="15" spans="1:4" x14ac:dyDescent="0.3">
      <c r="A15">
        <v>2014</v>
      </c>
      <c r="B15">
        <v>58</v>
      </c>
      <c r="C15" t="s">
        <v>35</v>
      </c>
      <c r="D15" t="s">
        <v>40</v>
      </c>
    </row>
    <row r="16" spans="1:4" x14ac:dyDescent="0.3">
      <c r="A16">
        <v>2015</v>
      </c>
      <c r="B16">
        <v>40</v>
      </c>
      <c r="C16" t="s">
        <v>33</v>
      </c>
      <c r="D16" t="s">
        <v>34</v>
      </c>
    </row>
    <row r="17" spans="1:4" x14ac:dyDescent="0.3">
      <c r="A17">
        <v>2016</v>
      </c>
      <c r="B17">
        <v>29</v>
      </c>
      <c r="C17" t="s">
        <v>35</v>
      </c>
      <c r="D17" t="s">
        <v>40</v>
      </c>
    </row>
    <row r="18" spans="1:4" x14ac:dyDescent="0.3">
      <c r="A18">
        <v>2017</v>
      </c>
      <c r="B18">
        <v>32</v>
      </c>
      <c r="C18" t="s">
        <v>33</v>
      </c>
      <c r="D18" t="s">
        <v>34</v>
      </c>
    </row>
    <row r="19" spans="1:4" x14ac:dyDescent="0.3">
      <c r="A19">
        <v>2018</v>
      </c>
      <c r="B19">
        <v>38</v>
      </c>
      <c r="C19" t="s">
        <v>35</v>
      </c>
      <c r="D19" t="s">
        <v>37</v>
      </c>
    </row>
    <row r="20" spans="1:4" x14ac:dyDescent="0.3">
      <c r="A20">
        <v>2019</v>
      </c>
      <c r="B20">
        <v>57</v>
      </c>
      <c r="C20" t="s">
        <v>33</v>
      </c>
      <c r="D20" t="s">
        <v>40</v>
      </c>
    </row>
    <row r="21" spans="1:4" x14ac:dyDescent="0.3">
      <c r="A21">
        <v>2020</v>
      </c>
      <c r="B21">
        <v>27</v>
      </c>
      <c r="C21" t="s">
        <v>33</v>
      </c>
      <c r="D21" t="s">
        <v>40</v>
      </c>
    </row>
    <row r="22" spans="1:4" x14ac:dyDescent="0.3">
      <c r="A22">
        <v>2021</v>
      </c>
      <c r="B22">
        <v>28</v>
      </c>
      <c r="C22" t="s">
        <v>33</v>
      </c>
      <c r="D22" t="s">
        <v>34</v>
      </c>
    </row>
    <row r="23" spans="1:4" x14ac:dyDescent="0.3">
      <c r="A23">
        <v>2022</v>
      </c>
      <c r="B23">
        <v>19</v>
      </c>
      <c r="C23" t="s">
        <v>33</v>
      </c>
      <c r="D23" t="s">
        <v>37</v>
      </c>
    </row>
    <row r="24" spans="1:4" x14ac:dyDescent="0.3">
      <c r="A24">
        <v>2023</v>
      </c>
      <c r="B24">
        <v>41</v>
      </c>
      <c r="C24" t="s">
        <v>33</v>
      </c>
      <c r="D24" t="s">
        <v>34</v>
      </c>
    </row>
    <row r="25" spans="1:4" x14ac:dyDescent="0.3">
      <c r="A25">
        <v>2024</v>
      </c>
      <c r="B25">
        <v>26</v>
      </c>
      <c r="C25" t="s">
        <v>35</v>
      </c>
      <c r="D25" t="s">
        <v>34</v>
      </c>
    </row>
    <row r="26" spans="1:4" x14ac:dyDescent="0.3">
      <c r="A26">
        <v>2025</v>
      </c>
      <c r="B26">
        <v>34</v>
      </c>
      <c r="C26" t="s">
        <v>33</v>
      </c>
      <c r="D26" t="s">
        <v>34</v>
      </c>
    </row>
    <row r="27" spans="1:4" x14ac:dyDescent="0.3">
      <c r="A27">
        <v>2026</v>
      </c>
      <c r="B27">
        <v>27</v>
      </c>
      <c r="C27" t="s">
        <v>35</v>
      </c>
      <c r="D27" t="s">
        <v>39</v>
      </c>
    </row>
    <row r="28" spans="1:4" x14ac:dyDescent="0.3">
      <c r="A28">
        <v>2027</v>
      </c>
      <c r="B28">
        <v>27</v>
      </c>
      <c r="C28" t="s">
        <v>35</v>
      </c>
      <c r="D28" t="s">
        <v>40</v>
      </c>
    </row>
    <row r="29" spans="1:4" x14ac:dyDescent="0.3">
      <c r="A29">
        <v>2028</v>
      </c>
      <c r="B29">
        <v>43</v>
      </c>
      <c r="C29" t="s">
        <v>33</v>
      </c>
      <c r="D29" t="s">
        <v>39</v>
      </c>
    </row>
    <row r="30" spans="1:4" x14ac:dyDescent="0.3">
      <c r="A30">
        <v>2029</v>
      </c>
      <c r="B30">
        <v>53</v>
      </c>
      <c r="C30" t="s">
        <v>33</v>
      </c>
      <c r="D30" t="s">
        <v>34</v>
      </c>
    </row>
    <row r="31" spans="1:4" x14ac:dyDescent="0.3">
      <c r="A31">
        <v>2030</v>
      </c>
      <c r="B31">
        <v>46</v>
      </c>
      <c r="C31" t="s">
        <v>35</v>
      </c>
      <c r="D31" t="s">
        <v>36</v>
      </c>
    </row>
    <row r="32" spans="1:4" x14ac:dyDescent="0.3">
      <c r="A32">
        <v>2031</v>
      </c>
      <c r="B32">
        <v>38</v>
      </c>
      <c r="C32" t="s">
        <v>33</v>
      </c>
      <c r="D32" t="s">
        <v>36</v>
      </c>
    </row>
    <row r="33" spans="1:4" x14ac:dyDescent="0.3">
      <c r="A33">
        <v>2032</v>
      </c>
      <c r="B33">
        <v>42</v>
      </c>
      <c r="C33" t="s">
        <v>33</v>
      </c>
      <c r="D33" t="s">
        <v>38</v>
      </c>
    </row>
    <row r="34" spans="1:4" x14ac:dyDescent="0.3">
      <c r="A34">
        <v>2033</v>
      </c>
      <c r="B34">
        <v>43</v>
      </c>
      <c r="C34" t="s">
        <v>35</v>
      </c>
      <c r="D34" t="s">
        <v>38</v>
      </c>
    </row>
    <row r="35" spans="1:4" x14ac:dyDescent="0.3">
      <c r="A35">
        <v>2034</v>
      </c>
      <c r="B35">
        <v>48</v>
      </c>
      <c r="C35" t="s">
        <v>35</v>
      </c>
      <c r="D35" t="s">
        <v>37</v>
      </c>
    </row>
    <row r="36" spans="1:4" x14ac:dyDescent="0.3">
      <c r="A36">
        <v>2035</v>
      </c>
      <c r="B36">
        <v>37</v>
      </c>
      <c r="C36" t="s">
        <v>35</v>
      </c>
      <c r="D36" t="s">
        <v>34</v>
      </c>
    </row>
    <row r="37" spans="1:4" x14ac:dyDescent="0.3">
      <c r="A37">
        <v>2036</v>
      </c>
      <c r="B37">
        <v>30</v>
      </c>
      <c r="C37" t="s">
        <v>33</v>
      </c>
      <c r="D37" t="s">
        <v>34</v>
      </c>
    </row>
    <row r="38" spans="1:4" x14ac:dyDescent="0.3">
      <c r="A38">
        <v>2037</v>
      </c>
      <c r="B38">
        <v>38</v>
      </c>
      <c r="C38" t="s">
        <v>33</v>
      </c>
      <c r="D38" t="s">
        <v>40</v>
      </c>
    </row>
    <row r="39" spans="1:4" x14ac:dyDescent="0.3">
      <c r="A39">
        <v>2038</v>
      </c>
      <c r="B39">
        <v>22</v>
      </c>
      <c r="C39" t="s">
        <v>33</v>
      </c>
      <c r="D39" t="s">
        <v>36</v>
      </c>
    </row>
    <row r="40" spans="1:4" x14ac:dyDescent="0.3">
      <c r="A40">
        <v>2039</v>
      </c>
      <c r="B40">
        <v>52</v>
      </c>
      <c r="C40" t="s">
        <v>35</v>
      </c>
      <c r="D40" t="s">
        <v>34</v>
      </c>
    </row>
    <row r="41" spans="1:4" x14ac:dyDescent="0.3">
      <c r="A41">
        <v>2040</v>
      </c>
      <c r="B41">
        <v>40</v>
      </c>
      <c r="C41" t="s">
        <v>33</v>
      </c>
      <c r="D41" t="s">
        <v>38</v>
      </c>
    </row>
    <row r="42" spans="1:4" x14ac:dyDescent="0.3">
      <c r="A42">
        <v>2041</v>
      </c>
      <c r="B42">
        <v>28</v>
      </c>
      <c r="C42" t="s">
        <v>33</v>
      </c>
      <c r="D42" t="s">
        <v>37</v>
      </c>
    </row>
    <row r="43" spans="1:4" x14ac:dyDescent="0.3">
      <c r="A43">
        <v>2042</v>
      </c>
      <c r="B43">
        <v>18</v>
      </c>
      <c r="C43" t="s">
        <v>35</v>
      </c>
      <c r="D43" t="s">
        <v>36</v>
      </c>
    </row>
    <row r="44" spans="1:4" x14ac:dyDescent="0.3">
      <c r="A44">
        <v>2043</v>
      </c>
      <c r="B44">
        <v>44</v>
      </c>
      <c r="C44" t="s">
        <v>33</v>
      </c>
      <c r="D44" t="s">
        <v>34</v>
      </c>
    </row>
    <row r="45" spans="1:4" x14ac:dyDescent="0.3">
      <c r="A45">
        <v>2044</v>
      </c>
      <c r="B45">
        <v>44</v>
      </c>
      <c r="C45" t="s">
        <v>35</v>
      </c>
      <c r="D45" t="s">
        <v>39</v>
      </c>
    </row>
    <row r="46" spans="1:4" x14ac:dyDescent="0.3">
      <c r="A46">
        <v>2045</v>
      </c>
      <c r="B46">
        <v>36</v>
      </c>
      <c r="C46" t="s">
        <v>33</v>
      </c>
      <c r="D46" t="s">
        <v>34</v>
      </c>
    </row>
    <row r="47" spans="1:4" x14ac:dyDescent="0.3">
      <c r="A47">
        <v>2046</v>
      </c>
      <c r="B47">
        <v>52</v>
      </c>
      <c r="C47" t="s">
        <v>33</v>
      </c>
      <c r="D47" t="s">
        <v>37</v>
      </c>
    </row>
    <row r="48" spans="1:4" x14ac:dyDescent="0.3">
      <c r="A48">
        <v>2047</v>
      </c>
      <c r="B48">
        <v>28</v>
      </c>
      <c r="C48" t="s">
        <v>33</v>
      </c>
      <c r="D48" t="s">
        <v>40</v>
      </c>
    </row>
    <row r="49" spans="1:4" x14ac:dyDescent="0.3">
      <c r="A49">
        <v>2048</v>
      </c>
      <c r="B49">
        <v>41</v>
      </c>
      <c r="C49" t="s">
        <v>35</v>
      </c>
      <c r="D49" t="s">
        <v>39</v>
      </c>
    </row>
    <row r="50" spans="1:4" x14ac:dyDescent="0.3">
      <c r="A50">
        <v>2049</v>
      </c>
      <c r="B50">
        <v>44</v>
      </c>
      <c r="C50" t="s">
        <v>35</v>
      </c>
      <c r="D50" t="s">
        <v>34</v>
      </c>
    </row>
    <row r="51" spans="1:4" x14ac:dyDescent="0.3">
      <c r="A51">
        <v>2050</v>
      </c>
      <c r="B51">
        <v>54</v>
      </c>
      <c r="C51" t="s">
        <v>35</v>
      </c>
      <c r="D51" t="s">
        <v>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1"/>
  <sheetViews>
    <sheetView topLeftCell="A477" workbookViewId="0">
      <selection sqref="A1:D501"/>
    </sheetView>
  </sheetViews>
  <sheetFormatPr defaultRowHeight="14.4" x14ac:dyDescent="0.3"/>
  <sheetData>
    <row r="1" spans="1:4" x14ac:dyDescent="0.3">
      <c r="A1" t="s">
        <v>41</v>
      </c>
      <c r="B1" t="s">
        <v>0</v>
      </c>
      <c r="C1" t="s">
        <v>29</v>
      </c>
      <c r="D1" t="s">
        <v>42</v>
      </c>
    </row>
    <row r="2" spans="1:4" x14ac:dyDescent="0.3">
      <c r="A2">
        <v>3001</v>
      </c>
      <c r="B2">
        <v>1004</v>
      </c>
      <c r="C2">
        <v>2050</v>
      </c>
      <c r="D2">
        <v>6</v>
      </c>
    </row>
    <row r="3" spans="1:4" x14ac:dyDescent="0.3">
      <c r="A3">
        <v>3002</v>
      </c>
      <c r="B3">
        <v>1015</v>
      </c>
      <c r="C3">
        <v>2031</v>
      </c>
      <c r="D3">
        <v>2</v>
      </c>
    </row>
    <row r="4" spans="1:4" x14ac:dyDescent="0.3">
      <c r="A4">
        <v>3003</v>
      </c>
      <c r="B4">
        <v>1006</v>
      </c>
      <c r="C4">
        <v>2005</v>
      </c>
      <c r="D4">
        <v>3</v>
      </c>
    </row>
    <row r="5" spans="1:4" x14ac:dyDescent="0.3">
      <c r="A5">
        <v>3004</v>
      </c>
      <c r="B5">
        <v>1014</v>
      </c>
      <c r="C5">
        <v>2042</v>
      </c>
      <c r="D5">
        <v>1</v>
      </c>
    </row>
    <row r="6" spans="1:4" x14ac:dyDescent="0.3">
      <c r="A6">
        <v>3005</v>
      </c>
      <c r="B6">
        <v>1014</v>
      </c>
      <c r="C6">
        <v>2024</v>
      </c>
      <c r="D6">
        <v>1</v>
      </c>
    </row>
    <row r="7" spans="1:4" x14ac:dyDescent="0.3">
      <c r="A7">
        <v>3006</v>
      </c>
      <c r="B7">
        <v>1004</v>
      </c>
      <c r="C7">
        <v>2001</v>
      </c>
      <c r="D7">
        <v>9</v>
      </c>
    </row>
    <row r="8" spans="1:4" x14ac:dyDescent="0.3">
      <c r="A8">
        <v>3007</v>
      </c>
      <c r="B8">
        <v>1009</v>
      </c>
      <c r="C8">
        <v>2033</v>
      </c>
      <c r="D8">
        <v>2</v>
      </c>
    </row>
    <row r="9" spans="1:4" x14ac:dyDescent="0.3">
      <c r="A9">
        <v>3008</v>
      </c>
      <c r="B9">
        <v>1019</v>
      </c>
      <c r="C9">
        <v>2011</v>
      </c>
      <c r="D9">
        <v>5</v>
      </c>
    </row>
    <row r="10" spans="1:4" x14ac:dyDescent="0.3">
      <c r="A10">
        <v>3009</v>
      </c>
      <c r="B10">
        <v>1002</v>
      </c>
      <c r="C10">
        <v>2042</v>
      </c>
      <c r="D10">
        <v>6</v>
      </c>
    </row>
    <row r="11" spans="1:4" x14ac:dyDescent="0.3">
      <c r="A11">
        <v>3010</v>
      </c>
      <c r="B11">
        <v>1016</v>
      </c>
      <c r="C11">
        <v>2004</v>
      </c>
      <c r="D11">
        <v>10</v>
      </c>
    </row>
    <row r="12" spans="1:4" x14ac:dyDescent="0.3">
      <c r="A12">
        <v>3011</v>
      </c>
      <c r="B12">
        <v>1018</v>
      </c>
      <c r="C12">
        <v>2007</v>
      </c>
      <c r="D12">
        <v>10</v>
      </c>
    </row>
    <row r="13" spans="1:4" x14ac:dyDescent="0.3">
      <c r="A13">
        <v>3012</v>
      </c>
      <c r="B13">
        <v>1008</v>
      </c>
      <c r="C13">
        <v>2034</v>
      </c>
      <c r="D13">
        <v>6</v>
      </c>
    </row>
    <row r="14" spans="1:4" x14ac:dyDescent="0.3">
      <c r="A14">
        <v>3013</v>
      </c>
      <c r="B14">
        <v>1014</v>
      </c>
      <c r="C14">
        <v>2016</v>
      </c>
      <c r="D14">
        <v>4</v>
      </c>
    </row>
    <row r="15" spans="1:4" x14ac:dyDescent="0.3">
      <c r="A15">
        <v>3014</v>
      </c>
      <c r="B15">
        <v>1017</v>
      </c>
      <c r="C15">
        <v>2039</v>
      </c>
      <c r="D15">
        <v>3</v>
      </c>
    </row>
    <row r="16" spans="1:4" x14ac:dyDescent="0.3">
      <c r="A16">
        <v>3015</v>
      </c>
      <c r="B16">
        <v>1007</v>
      </c>
      <c r="C16">
        <v>2003</v>
      </c>
      <c r="D16">
        <v>9</v>
      </c>
    </row>
    <row r="17" spans="1:4" x14ac:dyDescent="0.3">
      <c r="A17">
        <v>3016</v>
      </c>
      <c r="B17">
        <v>1006</v>
      </c>
      <c r="C17">
        <v>2049</v>
      </c>
      <c r="D17">
        <v>4</v>
      </c>
    </row>
    <row r="18" spans="1:4" x14ac:dyDescent="0.3">
      <c r="A18">
        <v>3017</v>
      </c>
      <c r="B18">
        <v>1020</v>
      </c>
      <c r="C18">
        <v>2017</v>
      </c>
      <c r="D18">
        <v>6</v>
      </c>
    </row>
    <row r="19" spans="1:4" x14ac:dyDescent="0.3">
      <c r="A19">
        <v>3018</v>
      </c>
      <c r="B19">
        <v>1016</v>
      </c>
      <c r="C19">
        <v>2002</v>
      </c>
      <c r="D19">
        <v>6</v>
      </c>
    </row>
    <row r="20" spans="1:4" x14ac:dyDescent="0.3">
      <c r="A20">
        <v>3019</v>
      </c>
      <c r="B20">
        <v>1011</v>
      </c>
      <c r="C20">
        <v>2010</v>
      </c>
      <c r="D20">
        <v>9</v>
      </c>
    </row>
    <row r="21" spans="1:4" x14ac:dyDescent="0.3">
      <c r="A21">
        <v>3020</v>
      </c>
      <c r="B21">
        <v>1009</v>
      </c>
      <c r="C21">
        <v>2014</v>
      </c>
      <c r="D21">
        <v>5</v>
      </c>
    </row>
    <row r="22" spans="1:4" x14ac:dyDescent="0.3">
      <c r="A22">
        <v>3021</v>
      </c>
      <c r="B22">
        <v>1007</v>
      </c>
      <c r="C22">
        <v>2029</v>
      </c>
      <c r="D22">
        <v>3</v>
      </c>
    </row>
    <row r="23" spans="1:4" x14ac:dyDescent="0.3">
      <c r="A23">
        <v>3022</v>
      </c>
      <c r="B23">
        <v>1011</v>
      </c>
      <c r="C23">
        <v>2002</v>
      </c>
      <c r="D23">
        <v>1</v>
      </c>
    </row>
    <row r="24" spans="1:4" x14ac:dyDescent="0.3">
      <c r="A24">
        <v>3023</v>
      </c>
      <c r="B24">
        <v>1014</v>
      </c>
      <c r="C24">
        <v>2012</v>
      </c>
      <c r="D24">
        <v>2</v>
      </c>
    </row>
    <row r="25" spans="1:4" x14ac:dyDescent="0.3">
      <c r="A25">
        <v>3024</v>
      </c>
      <c r="B25">
        <v>1003</v>
      </c>
      <c r="C25">
        <v>2026</v>
      </c>
      <c r="D25">
        <v>9</v>
      </c>
    </row>
    <row r="26" spans="1:4" x14ac:dyDescent="0.3">
      <c r="A26">
        <v>3025</v>
      </c>
      <c r="B26">
        <v>1017</v>
      </c>
      <c r="C26">
        <v>2012</v>
      </c>
      <c r="D26">
        <v>7</v>
      </c>
    </row>
    <row r="27" spans="1:4" x14ac:dyDescent="0.3">
      <c r="A27">
        <v>3026</v>
      </c>
      <c r="B27">
        <v>1019</v>
      </c>
      <c r="C27">
        <v>2009</v>
      </c>
      <c r="D27">
        <v>4</v>
      </c>
    </row>
    <row r="28" spans="1:4" x14ac:dyDescent="0.3">
      <c r="A28">
        <v>3027</v>
      </c>
      <c r="B28">
        <v>1020</v>
      </c>
      <c r="C28">
        <v>2004</v>
      </c>
      <c r="D28">
        <v>4</v>
      </c>
    </row>
    <row r="29" spans="1:4" x14ac:dyDescent="0.3">
      <c r="A29">
        <v>3028</v>
      </c>
      <c r="B29">
        <v>1013</v>
      </c>
      <c r="C29">
        <v>2017</v>
      </c>
      <c r="D29">
        <v>4</v>
      </c>
    </row>
    <row r="30" spans="1:4" x14ac:dyDescent="0.3">
      <c r="A30">
        <v>3029</v>
      </c>
      <c r="B30">
        <v>1015</v>
      </c>
      <c r="C30">
        <v>2045</v>
      </c>
      <c r="D30">
        <v>8</v>
      </c>
    </row>
    <row r="31" spans="1:4" x14ac:dyDescent="0.3">
      <c r="A31">
        <v>3030</v>
      </c>
      <c r="B31">
        <v>1012</v>
      </c>
      <c r="C31">
        <v>2017</v>
      </c>
      <c r="D31">
        <v>2</v>
      </c>
    </row>
    <row r="32" spans="1:4" x14ac:dyDescent="0.3">
      <c r="A32">
        <v>3031</v>
      </c>
      <c r="B32">
        <v>1017</v>
      </c>
      <c r="C32">
        <v>2048</v>
      </c>
      <c r="D32">
        <v>3</v>
      </c>
    </row>
    <row r="33" spans="1:4" x14ac:dyDescent="0.3">
      <c r="A33">
        <v>3032</v>
      </c>
      <c r="B33">
        <v>1017</v>
      </c>
      <c r="C33">
        <v>2044</v>
      </c>
      <c r="D33">
        <v>1</v>
      </c>
    </row>
    <row r="34" spans="1:4" x14ac:dyDescent="0.3">
      <c r="A34">
        <v>3033</v>
      </c>
      <c r="B34">
        <v>1015</v>
      </c>
      <c r="C34">
        <v>2036</v>
      </c>
      <c r="D34">
        <v>4</v>
      </c>
    </row>
    <row r="35" spans="1:4" x14ac:dyDescent="0.3">
      <c r="A35">
        <v>3034</v>
      </c>
      <c r="B35">
        <v>1020</v>
      </c>
      <c r="C35">
        <v>2036</v>
      </c>
      <c r="D35">
        <v>2</v>
      </c>
    </row>
    <row r="36" spans="1:4" x14ac:dyDescent="0.3">
      <c r="A36">
        <v>3035</v>
      </c>
      <c r="B36">
        <v>1016</v>
      </c>
      <c r="C36">
        <v>2020</v>
      </c>
      <c r="D36">
        <v>2</v>
      </c>
    </row>
    <row r="37" spans="1:4" x14ac:dyDescent="0.3">
      <c r="A37">
        <v>3036</v>
      </c>
      <c r="B37">
        <v>1003</v>
      </c>
      <c r="C37">
        <v>2041</v>
      </c>
      <c r="D37">
        <v>8</v>
      </c>
    </row>
    <row r="38" spans="1:4" x14ac:dyDescent="0.3">
      <c r="A38">
        <v>3037</v>
      </c>
      <c r="B38">
        <v>1011</v>
      </c>
      <c r="C38">
        <v>2035</v>
      </c>
      <c r="D38">
        <v>3</v>
      </c>
    </row>
    <row r="39" spans="1:4" x14ac:dyDescent="0.3">
      <c r="A39">
        <v>3038</v>
      </c>
      <c r="B39">
        <v>1006</v>
      </c>
      <c r="C39">
        <v>2011</v>
      </c>
      <c r="D39">
        <v>3</v>
      </c>
    </row>
    <row r="40" spans="1:4" x14ac:dyDescent="0.3">
      <c r="A40">
        <v>3039</v>
      </c>
      <c r="B40">
        <v>1005</v>
      </c>
      <c r="C40">
        <v>2002</v>
      </c>
      <c r="D40">
        <v>1</v>
      </c>
    </row>
    <row r="41" spans="1:4" x14ac:dyDescent="0.3">
      <c r="A41">
        <v>3040</v>
      </c>
      <c r="B41">
        <v>1018</v>
      </c>
      <c r="C41">
        <v>2001</v>
      </c>
      <c r="D41">
        <v>5</v>
      </c>
    </row>
    <row r="42" spans="1:4" x14ac:dyDescent="0.3">
      <c r="A42">
        <v>3041</v>
      </c>
      <c r="B42">
        <v>1003</v>
      </c>
      <c r="C42">
        <v>2035</v>
      </c>
      <c r="D42">
        <v>6</v>
      </c>
    </row>
    <row r="43" spans="1:4" x14ac:dyDescent="0.3">
      <c r="A43">
        <v>3042</v>
      </c>
      <c r="B43">
        <v>1001</v>
      </c>
      <c r="C43">
        <v>2024</v>
      </c>
      <c r="D43">
        <v>5</v>
      </c>
    </row>
    <row r="44" spans="1:4" x14ac:dyDescent="0.3">
      <c r="A44">
        <v>3043</v>
      </c>
      <c r="B44">
        <v>1005</v>
      </c>
      <c r="C44">
        <v>2038</v>
      </c>
      <c r="D44">
        <v>10</v>
      </c>
    </row>
    <row r="45" spans="1:4" x14ac:dyDescent="0.3">
      <c r="A45">
        <v>3044</v>
      </c>
      <c r="B45">
        <v>1003</v>
      </c>
      <c r="C45">
        <v>2042</v>
      </c>
      <c r="D45">
        <v>8</v>
      </c>
    </row>
    <row r="46" spans="1:4" x14ac:dyDescent="0.3">
      <c r="A46">
        <v>3045</v>
      </c>
      <c r="B46">
        <v>1005</v>
      </c>
      <c r="C46">
        <v>2038</v>
      </c>
      <c r="D46">
        <v>3</v>
      </c>
    </row>
    <row r="47" spans="1:4" x14ac:dyDescent="0.3">
      <c r="A47">
        <v>3046</v>
      </c>
      <c r="B47">
        <v>1007</v>
      </c>
      <c r="C47">
        <v>2020</v>
      </c>
      <c r="D47">
        <v>3</v>
      </c>
    </row>
    <row r="48" spans="1:4" x14ac:dyDescent="0.3">
      <c r="A48">
        <v>3047</v>
      </c>
      <c r="B48">
        <v>1004</v>
      </c>
      <c r="C48">
        <v>2014</v>
      </c>
      <c r="D48">
        <v>1</v>
      </c>
    </row>
    <row r="49" spans="1:4" x14ac:dyDescent="0.3">
      <c r="A49">
        <v>3048</v>
      </c>
      <c r="B49">
        <v>1006</v>
      </c>
      <c r="C49">
        <v>2036</v>
      </c>
      <c r="D49">
        <v>7</v>
      </c>
    </row>
    <row r="50" spans="1:4" x14ac:dyDescent="0.3">
      <c r="A50">
        <v>3049</v>
      </c>
      <c r="B50">
        <v>1002</v>
      </c>
      <c r="C50">
        <v>2049</v>
      </c>
      <c r="D50">
        <v>6</v>
      </c>
    </row>
    <row r="51" spans="1:4" x14ac:dyDescent="0.3">
      <c r="A51">
        <v>3050</v>
      </c>
      <c r="B51">
        <v>1010</v>
      </c>
      <c r="C51">
        <v>2020</v>
      </c>
      <c r="D51">
        <v>3</v>
      </c>
    </row>
    <row r="52" spans="1:4" x14ac:dyDescent="0.3">
      <c r="A52">
        <v>3051</v>
      </c>
      <c r="B52">
        <v>1015</v>
      </c>
      <c r="C52">
        <v>2006</v>
      </c>
      <c r="D52">
        <v>1</v>
      </c>
    </row>
    <row r="53" spans="1:4" x14ac:dyDescent="0.3">
      <c r="A53">
        <v>3052</v>
      </c>
      <c r="B53">
        <v>1018</v>
      </c>
      <c r="C53">
        <v>2016</v>
      </c>
      <c r="D53">
        <v>8</v>
      </c>
    </row>
    <row r="54" spans="1:4" x14ac:dyDescent="0.3">
      <c r="A54">
        <v>3053</v>
      </c>
      <c r="B54">
        <v>1011</v>
      </c>
      <c r="C54">
        <v>2019</v>
      </c>
      <c r="D54">
        <v>5</v>
      </c>
    </row>
    <row r="55" spans="1:4" x14ac:dyDescent="0.3">
      <c r="A55">
        <v>3054</v>
      </c>
      <c r="B55">
        <v>1017</v>
      </c>
      <c r="C55">
        <v>2041</v>
      </c>
      <c r="D55">
        <v>2</v>
      </c>
    </row>
    <row r="56" spans="1:4" x14ac:dyDescent="0.3">
      <c r="A56">
        <v>3055</v>
      </c>
      <c r="B56">
        <v>1001</v>
      </c>
      <c r="C56">
        <v>2047</v>
      </c>
      <c r="D56">
        <v>5</v>
      </c>
    </row>
    <row r="57" spans="1:4" x14ac:dyDescent="0.3">
      <c r="A57">
        <v>3056</v>
      </c>
      <c r="B57">
        <v>1013</v>
      </c>
      <c r="C57">
        <v>2006</v>
      </c>
      <c r="D57">
        <v>4</v>
      </c>
    </row>
    <row r="58" spans="1:4" x14ac:dyDescent="0.3">
      <c r="A58">
        <v>3057</v>
      </c>
      <c r="B58">
        <v>1020</v>
      </c>
      <c r="C58">
        <v>2030</v>
      </c>
      <c r="D58">
        <v>1</v>
      </c>
    </row>
    <row r="59" spans="1:4" x14ac:dyDescent="0.3">
      <c r="A59">
        <v>3058</v>
      </c>
      <c r="B59">
        <v>1007</v>
      </c>
      <c r="C59">
        <v>2002</v>
      </c>
      <c r="D59">
        <v>6</v>
      </c>
    </row>
    <row r="60" spans="1:4" x14ac:dyDescent="0.3">
      <c r="A60">
        <v>3059</v>
      </c>
      <c r="B60">
        <v>1002</v>
      </c>
      <c r="C60">
        <v>2049</v>
      </c>
      <c r="D60">
        <v>4</v>
      </c>
    </row>
    <row r="61" spans="1:4" x14ac:dyDescent="0.3">
      <c r="A61">
        <v>3060</v>
      </c>
      <c r="B61">
        <v>1019</v>
      </c>
      <c r="C61">
        <v>2034</v>
      </c>
      <c r="D61">
        <v>10</v>
      </c>
    </row>
    <row r="62" spans="1:4" x14ac:dyDescent="0.3">
      <c r="A62">
        <v>3061</v>
      </c>
      <c r="B62">
        <v>1012</v>
      </c>
      <c r="C62">
        <v>2004</v>
      </c>
      <c r="D62">
        <v>3</v>
      </c>
    </row>
    <row r="63" spans="1:4" x14ac:dyDescent="0.3">
      <c r="A63">
        <v>3062</v>
      </c>
      <c r="B63">
        <v>1005</v>
      </c>
      <c r="C63">
        <v>2036</v>
      </c>
      <c r="D63">
        <v>7</v>
      </c>
    </row>
    <row r="64" spans="1:4" x14ac:dyDescent="0.3">
      <c r="A64">
        <v>3063</v>
      </c>
      <c r="B64">
        <v>1002</v>
      </c>
      <c r="C64">
        <v>2031</v>
      </c>
      <c r="D64">
        <v>6</v>
      </c>
    </row>
    <row r="65" spans="1:4" x14ac:dyDescent="0.3">
      <c r="A65">
        <v>3064</v>
      </c>
      <c r="B65">
        <v>1003</v>
      </c>
      <c r="C65">
        <v>2032</v>
      </c>
      <c r="D65">
        <v>3</v>
      </c>
    </row>
    <row r="66" spans="1:4" x14ac:dyDescent="0.3">
      <c r="A66">
        <v>3065</v>
      </c>
      <c r="B66">
        <v>1015</v>
      </c>
      <c r="C66">
        <v>2023</v>
      </c>
      <c r="D66">
        <v>3</v>
      </c>
    </row>
    <row r="67" spans="1:4" x14ac:dyDescent="0.3">
      <c r="A67">
        <v>3066</v>
      </c>
      <c r="B67">
        <v>1006</v>
      </c>
      <c r="C67">
        <v>2047</v>
      </c>
      <c r="D67">
        <v>7</v>
      </c>
    </row>
    <row r="68" spans="1:4" x14ac:dyDescent="0.3">
      <c r="A68">
        <v>3067</v>
      </c>
      <c r="B68">
        <v>1007</v>
      </c>
      <c r="C68">
        <v>2008</v>
      </c>
      <c r="D68">
        <v>3</v>
      </c>
    </row>
    <row r="69" spans="1:4" x14ac:dyDescent="0.3">
      <c r="A69">
        <v>3068</v>
      </c>
      <c r="B69">
        <v>1016</v>
      </c>
      <c r="C69">
        <v>2022</v>
      </c>
      <c r="D69">
        <v>7</v>
      </c>
    </row>
    <row r="70" spans="1:4" x14ac:dyDescent="0.3">
      <c r="A70">
        <v>3069</v>
      </c>
      <c r="B70">
        <v>1017</v>
      </c>
      <c r="C70">
        <v>2020</v>
      </c>
      <c r="D70">
        <v>4</v>
      </c>
    </row>
    <row r="71" spans="1:4" x14ac:dyDescent="0.3">
      <c r="A71">
        <v>3070</v>
      </c>
      <c r="B71">
        <v>1001</v>
      </c>
      <c r="C71">
        <v>2007</v>
      </c>
      <c r="D71">
        <v>5</v>
      </c>
    </row>
    <row r="72" spans="1:4" x14ac:dyDescent="0.3">
      <c r="A72">
        <v>3071</v>
      </c>
      <c r="B72">
        <v>1006</v>
      </c>
      <c r="C72">
        <v>2001</v>
      </c>
      <c r="D72">
        <v>7</v>
      </c>
    </row>
    <row r="73" spans="1:4" x14ac:dyDescent="0.3">
      <c r="A73">
        <v>3072</v>
      </c>
      <c r="B73">
        <v>1012</v>
      </c>
      <c r="C73">
        <v>2027</v>
      </c>
      <c r="D73">
        <v>3</v>
      </c>
    </row>
    <row r="74" spans="1:4" x14ac:dyDescent="0.3">
      <c r="A74">
        <v>3073</v>
      </c>
      <c r="B74">
        <v>1004</v>
      </c>
      <c r="C74">
        <v>2028</v>
      </c>
      <c r="D74">
        <v>3</v>
      </c>
    </row>
    <row r="75" spans="1:4" x14ac:dyDescent="0.3">
      <c r="A75">
        <v>3074</v>
      </c>
      <c r="B75">
        <v>1008</v>
      </c>
      <c r="C75">
        <v>2035</v>
      </c>
      <c r="D75">
        <v>5</v>
      </c>
    </row>
    <row r="76" spans="1:4" x14ac:dyDescent="0.3">
      <c r="A76">
        <v>3075</v>
      </c>
      <c r="B76">
        <v>1004</v>
      </c>
      <c r="C76">
        <v>2014</v>
      </c>
      <c r="D76">
        <v>1</v>
      </c>
    </row>
    <row r="77" spans="1:4" x14ac:dyDescent="0.3">
      <c r="A77">
        <v>3076</v>
      </c>
      <c r="B77">
        <v>1013</v>
      </c>
      <c r="C77">
        <v>2022</v>
      </c>
      <c r="D77">
        <v>5</v>
      </c>
    </row>
    <row r="78" spans="1:4" x14ac:dyDescent="0.3">
      <c r="A78">
        <v>3077</v>
      </c>
      <c r="B78">
        <v>1019</v>
      </c>
      <c r="C78">
        <v>2008</v>
      </c>
      <c r="D78">
        <v>4</v>
      </c>
    </row>
    <row r="79" spans="1:4" x14ac:dyDescent="0.3">
      <c r="A79">
        <v>3078</v>
      </c>
      <c r="B79">
        <v>1005</v>
      </c>
      <c r="C79">
        <v>2046</v>
      </c>
      <c r="D79">
        <v>2</v>
      </c>
    </row>
    <row r="80" spans="1:4" x14ac:dyDescent="0.3">
      <c r="A80">
        <v>3079</v>
      </c>
      <c r="B80">
        <v>1020</v>
      </c>
      <c r="C80">
        <v>2015</v>
      </c>
      <c r="D80">
        <v>5</v>
      </c>
    </row>
    <row r="81" spans="1:4" x14ac:dyDescent="0.3">
      <c r="A81">
        <v>3080</v>
      </c>
      <c r="B81">
        <v>1013</v>
      </c>
      <c r="C81">
        <v>2040</v>
      </c>
      <c r="D81">
        <v>3</v>
      </c>
    </row>
    <row r="82" spans="1:4" x14ac:dyDescent="0.3">
      <c r="A82">
        <v>3081</v>
      </c>
      <c r="B82">
        <v>1011</v>
      </c>
      <c r="C82">
        <v>2022</v>
      </c>
      <c r="D82">
        <v>3</v>
      </c>
    </row>
    <row r="83" spans="1:4" x14ac:dyDescent="0.3">
      <c r="A83">
        <v>3082</v>
      </c>
      <c r="B83">
        <v>1017</v>
      </c>
      <c r="C83">
        <v>2042</v>
      </c>
      <c r="D83">
        <v>6</v>
      </c>
    </row>
    <row r="84" spans="1:4" x14ac:dyDescent="0.3">
      <c r="A84">
        <v>3083</v>
      </c>
      <c r="B84">
        <v>1020</v>
      </c>
      <c r="C84">
        <v>2011</v>
      </c>
      <c r="D84">
        <v>9</v>
      </c>
    </row>
    <row r="85" spans="1:4" x14ac:dyDescent="0.3">
      <c r="A85">
        <v>3084</v>
      </c>
      <c r="B85">
        <v>1012</v>
      </c>
      <c r="C85">
        <v>2028</v>
      </c>
      <c r="D85">
        <v>2</v>
      </c>
    </row>
    <row r="86" spans="1:4" x14ac:dyDescent="0.3">
      <c r="A86">
        <v>3085</v>
      </c>
      <c r="B86">
        <v>1015</v>
      </c>
      <c r="C86">
        <v>2031</v>
      </c>
      <c r="D86">
        <v>6</v>
      </c>
    </row>
    <row r="87" spans="1:4" x14ac:dyDescent="0.3">
      <c r="A87">
        <v>3086</v>
      </c>
      <c r="B87">
        <v>1001</v>
      </c>
      <c r="C87">
        <v>2038</v>
      </c>
      <c r="D87">
        <v>2</v>
      </c>
    </row>
    <row r="88" spans="1:4" x14ac:dyDescent="0.3">
      <c r="A88">
        <v>3087</v>
      </c>
      <c r="B88">
        <v>1010</v>
      </c>
      <c r="C88">
        <v>2047</v>
      </c>
      <c r="D88">
        <v>9</v>
      </c>
    </row>
    <row r="89" spans="1:4" x14ac:dyDescent="0.3">
      <c r="A89">
        <v>3088</v>
      </c>
      <c r="B89">
        <v>1005</v>
      </c>
      <c r="C89">
        <v>2015</v>
      </c>
      <c r="D89">
        <v>8</v>
      </c>
    </row>
    <row r="90" spans="1:4" x14ac:dyDescent="0.3">
      <c r="A90">
        <v>3089</v>
      </c>
      <c r="B90">
        <v>1017</v>
      </c>
      <c r="C90">
        <v>2049</v>
      </c>
      <c r="D90">
        <v>8</v>
      </c>
    </row>
    <row r="91" spans="1:4" x14ac:dyDescent="0.3">
      <c r="A91">
        <v>3090</v>
      </c>
      <c r="B91">
        <v>1010</v>
      </c>
      <c r="C91">
        <v>2027</v>
      </c>
      <c r="D91">
        <v>4</v>
      </c>
    </row>
    <row r="92" spans="1:4" x14ac:dyDescent="0.3">
      <c r="A92">
        <v>3091</v>
      </c>
      <c r="B92">
        <v>1018</v>
      </c>
      <c r="C92">
        <v>2002</v>
      </c>
      <c r="D92">
        <v>9</v>
      </c>
    </row>
    <row r="93" spans="1:4" x14ac:dyDescent="0.3">
      <c r="A93">
        <v>3092</v>
      </c>
      <c r="B93">
        <v>1014</v>
      </c>
      <c r="C93">
        <v>2009</v>
      </c>
      <c r="D93">
        <v>1</v>
      </c>
    </row>
    <row r="94" spans="1:4" x14ac:dyDescent="0.3">
      <c r="A94">
        <v>3093</v>
      </c>
      <c r="B94">
        <v>1007</v>
      </c>
      <c r="C94">
        <v>2014</v>
      </c>
      <c r="D94">
        <v>5</v>
      </c>
    </row>
    <row r="95" spans="1:4" x14ac:dyDescent="0.3">
      <c r="A95">
        <v>3094</v>
      </c>
      <c r="B95">
        <v>1019</v>
      </c>
      <c r="C95">
        <v>2006</v>
      </c>
      <c r="D95">
        <v>4</v>
      </c>
    </row>
    <row r="96" spans="1:4" x14ac:dyDescent="0.3">
      <c r="A96">
        <v>3095</v>
      </c>
      <c r="B96">
        <v>1016</v>
      </c>
      <c r="C96">
        <v>2050</v>
      </c>
      <c r="D96">
        <v>8</v>
      </c>
    </row>
    <row r="97" spans="1:4" x14ac:dyDescent="0.3">
      <c r="A97">
        <v>3096</v>
      </c>
      <c r="B97">
        <v>1008</v>
      </c>
      <c r="C97">
        <v>2050</v>
      </c>
      <c r="D97">
        <v>10</v>
      </c>
    </row>
    <row r="98" spans="1:4" x14ac:dyDescent="0.3">
      <c r="A98">
        <v>3097</v>
      </c>
      <c r="B98">
        <v>1013</v>
      </c>
      <c r="C98">
        <v>2048</v>
      </c>
      <c r="D98">
        <v>7</v>
      </c>
    </row>
    <row r="99" spans="1:4" x14ac:dyDescent="0.3">
      <c r="A99">
        <v>3098</v>
      </c>
      <c r="B99">
        <v>1003</v>
      </c>
      <c r="C99">
        <v>2008</v>
      </c>
      <c r="D99">
        <v>1</v>
      </c>
    </row>
    <row r="100" spans="1:4" x14ac:dyDescent="0.3">
      <c r="A100">
        <v>3099</v>
      </c>
      <c r="B100">
        <v>1001</v>
      </c>
      <c r="C100">
        <v>2008</v>
      </c>
      <c r="D100">
        <v>1</v>
      </c>
    </row>
    <row r="101" spans="1:4" x14ac:dyDescent="0.3">
      <c r="A101">
        <v>3100</v>
      </c>
      <c r="B101">
        <v>1009</v>
      </c>
      <c r="C101">
        <v>2043</v>
      </c>
      <c r="D101">
        <v>3</v>
      </c>
    </row>
    <row r="102" spans="1:4" x14ac:dyDescent="0.3">
      <c r="A102">
        <v>3101</v>
      </c>
      <c r="B102">
        <v>1010</v>
      </c>
      <c r="C102">
        <v>2029</v>
      </c>
      <c r="D102">
        <v>7</v>
      </c>
    </row>
    <row r="103" spans="1:4" x14ac:dyDescent="0.3">
      <c r="A103">
        <v>3102</v>
      </c>
      <c r="B103">
        <v>1016</v>
      </c>
      <c r="C103">
        <v>2036</v>
      </c>
      <c r="D103">
        <v>6</v>
      </c>
    </row>
    <row r="104" spans="1:4" x14ac:dyDescent="0.3">
      <c r="A104">
        <v>3103</v>
      </c>
      <c r="B104">
        <v>1010</v>
      </c>
      <c r="C104">
        <v>2031</v>
      </c>
      <c r="D104">
        <v>2</v>
      </c>
    </row>
    <row r="105" spans="1:4" x14ac:dyDescent="0.3">
      <c r="A105">
        <v>3104</v>
      </c>
      <c r="B105">
        <v>1001</v>
      </c>
      <c r="C105">
        <v>2046</v>
      </c>
      <c r="D105">
        <v>10</v>
      </c>
    </row>
    <row r="106" spans="1:4" x14ac:dyDescent="0.3">
      <c r="A106">
        <v>3105</v>
      </c>
      <c r="B106">
        <v>1004</v>
      </c>
      <c r="C106">
        <v>2006</v>
      </c>
      <c r="D106">
        <v>7</v>
      </c>
    </row>
    <row r="107" spans="1:4" x14ac:dyDescent="0.3">
      <c r="A107">
        <v>3106</v>
      </c>
      <c r="B107">
        <v>1012</v>
      </c>
      <c r="C107">
        <v>2043</v>
      </c>
      <c r="D107">
        <v>7</v>
      </c>
    </row>
    <row r="108" spans="1:4" x14ac:dyDescent="0.3">
      <c r="A108">
        <v>3107</v>
      </c>
      <c r="B108">
        <v>1017</v>
      </c>
      <c r="C108">
        <v>2040</v>
      </c>
      <c r="D108">
        <v>10</v>
      </c>
    </row>
    <row r="109" spans="1:4" x14ac:dyDescent="0.3">
      <c r="A109">
        <v>3108</v>
      </c>
      <c r="B109">
        <v>1018</v>
      </c>
      <c r="C109">
        <v>2044</v>
      </c>
      <c r="D109">
        <v>2</v>
      </c>
    </row>
    <row r="110" spans="1:4" x14ac:dyDescent="0.3">
      <c r="A110">
        <v>3109</v>
      </c>
      <c r="B110">
        <v>1010</v>
      </c>
      <c r="C110">
        <v>2048</v>
      </c>
      <c r="D110">
        <v>2</v>
      </c>
    </row>
    <row r="111" spans="1:4" x14ac:dyDescent="0.3">
      <c r="A111">
        <v>3110</v>
      </c>
      <c r="B111">
        <v>1007</v>
      </c>
      <c r="C111">
        <v>2028</v>
      </c>
      <c r="D111">
        <v>10</v>
      </c>
    </row>
    <row r="112" spans="1:4" x14ac:dyDescent="0.3">
      <c r="A112">
        <v>3111</v>
      </c>
      <c r="B112">
        <v>1014</v>
      </c>
      <c r="C112">
        <v>2021</v>
      </c>
      <c r="D112">
        <v>6</v>
      </c>
    </row>
    <row r="113" spans="1:4" x14ac:dyDescent="0.3">
      <c r="A113">
        <v>3112</v>
      </c>
      <c r="B113">
        <v>1015</v>
      </c>
      <c r="C113">
        <v>2033</v>
      </c>
      <c r="D113">
        <v>6</v>
      </c>
    </row>
    <row r="114" spans="1:4" x14ac:dyDescent="0.3">
      <c r="A114">
        <v>3113</v>
      </c>
      <c r="B114">
        <v>1002</v>
      </c>
      <c r="C114">
        <v>2014</v>
      </c>
      <c r="D114">
        <v>3</v>
      </c>
    </row>
    <row r="115" spans="1:4" x14ac:dyDescent="0.3">
      <c r="A115">
        <v>3114</v>
      </c>
      <c r="B115">
        <v>1007</v>
      </c>
      <c r="C115">
        <v>2031</v>
      </c>
      <c r="D115">
        <v>2</v>
      </c>
    </row>
    <row r="116" spans="1:4" x14ac:dyDescent="0.3">
      <c r="A116">
        <v>3115</v>
      </c>
      <c r="B116">
        <v>1007</v>
      </c>
      <c r="C116">
        <v>2034</v>
      </c>
      <c r="D116">
        <v>9</v>
      </c>
    </row>
    <row r="117" spans="1:4" x14ac:dyDescent="0.3">
      <c r="A117">
        <v>3116</v>
      </c>
      <c r="B117">
        <v>1012</v>
      </c>
      <c r="C117">
        <v>2043</v>
      </c>
      <c r="D117">
        <v>8</v>
      </c>
    </row>
    <row r="118" spans="1:4" x14ac:dyDescent="0.3">
      <c r="A118">
        <v>3117</v>
      </c>
      <c r="B118">
        <v>1010</v>
      </c>
      <c r="C118">
        <v>2046</v>
      </c>
      <c r="D118">
        <v>4</v>
      </c>
    </row>
    <row r="119" spans="1:4" x14ac:dyDescent="0.3">
      <c r="A119">
        <v>3118</v>
      </c>
      <c r="B119">
        <v>1003</v>
      </c>
      <c r="C119">
        <v>2024</v>
      </c>
      <c r="D119">
        <v>6</v>
      </c>
    </row>
    <row r="120" spans="1:4" x14ac:dyDescent="0.3">
      <c r="A120">
        <v>3119</v>
      </c>
      <c r="B120">
        <v>1011</v>
      </c>
      <c r="C120">
        <v>2007</v>
      </c>
      <c r="D120">
        <v>9</v>
      </c>
    </row>
    <row r="121" spans="1:4" x14ac:dyDescent="0.3">
      <c r="A121">
        <v>3120</v>
      </c>
      <c r="B121">
        <v>1005</v>
      </c>
      <c r="C121">
        <v>2017</v>
      </c>
      <c r="D121">
        <v>4</v>
      </c>
    </row>
    <row r="122" spans="1:4" x14ac:dyDescent="0.3">
      <c r="A122">
        <v>3121</v>
      </c>
      <c r="B122">
        <v>1003</v>
      </c>
      <c r="C122">
        <v>2017</v>
      </c>
      <c r="D122">
        <v>1</v>
      </c>
    </row>
    <row r="123" spans="1:4" x14ac:dyDescent="0.3">
      <c r="A123">
        <v>3122</v>
      </c>
      <c r="B123">
        <v>1011</v>
      </c>
      <c r="C123">
        <v>2002</v>
      </c>
      <c r="D123">
        <v>9</v>
      </c>
    </row>
    <row r="124" spans="1:4" x14ac:dyDescent="0.3">
      <c r="A124">
        <v>3123</v>
      </c>
      <c r="B124">
        <v>1016</v>
      </c>
      <c r="C124">
        <v>2027</v>
      </c>
      <c r="D124">
        <v>7</v>
      </c>
    </row>
    <row r="125" spans="1:4" x14ac:dyDescent="0.3">
      <c r="A125">
        <v>3124</v>
      </c>
      <c r="B125">
        <v>1010</v>
      </c>
      <c r="C125">
        <v>2038</v>
      </c>
      <c r="D125">
        <v>8</v>
      </c>
    </row>
    <row r="126" spans="1:4" x14ac:dyDescent="0.3">
      <c r="A126">
        <v>3125</v>
      </c>
      <c r="B126">
        <v>1001</v>
      </c>
      <c r="C126">
        <v>2049</v>
      </c>
      <c r="D126">
        <v>6</v>
      </c>
    </row>
    <row r="127" spans="1:4" x14ac:dyDescent="0.3">
      <c r="A127">
        <v>3126</v>
      </c>
      <c r="B127">
        <v>1020</v>
      </c>
      <c r="C127">
        <v>2003</v>
      </c>
      <c r="D127">
        <v>6</v>
      </c>
    </row>
    <row r="128" spans="1:4" x14ac:dyDescent="0.3">
      <c r="A128">
        <v>3127</v>
      </c>
      <c r="B128">
        <v>1002</v>
      </c>
      <c r="C128">
        <v>2022</v>
      </c>
      <c r="D128">
        <v>8</v>
      </c>
    </row>
    <row r="129" spans="1:4" x14ac:dyDescent="0.3">
      <c r="A129">
        <v>3128</v>
      </c>
      <c r="B129">
        <v>1020</v>
      </c>
      <c r="C129">
        <v>2014</v>
      </c>
      <c r="D129">
        <v>10</v>
      </c>
    </row>
    <row r="130" spans="1:4" x14ac:dyDescent="0.3">
      <c r="A130">
        <v>3129</v>
      </c>
      <c r="B130">
        <v>1009</v>
      </c>
      <c r="C130">
        <v>2042</v>
      </c>
      <c r="D130">
        <v>2</v>
      </c>
    </row>
    <row r="131" spans="1:4" x14ac:dyDescent="0.3">
      <c r="A131">
        <v>3130</v>
      </c>
      <c r="B131">
        <v>1006</v>
      </c>
      <c r="C131">
        <v>2049</v>
      </c>
      <c r="D131">
        <v>6</v>
      </c>
    </row>
    <row r="132" spans="1:4" x14ac:dyDescent="0.3">
      <c r="A132">
        <v>3131</v>
      </c>
      <c r="B132">
        <v>1009</v>
      </c>
      <c r="C132">
        <v>2017</v>
      </c>
      <c r="D132">
        <v>2</v>
      </c>
    </row>
    <row r="133" spans="1:4" x14ac:dyDescent="0.3">
      <c r="A133">
        <v>3132</v>
      </c>
      <c r="B133">
        <v>1014</v>
      </c>
      <c r="C133">
        <v>2013</v>
      </c>
      <c r="D133">
        <v>6</v>
      </c>
    </row>
    <row r="134" spans="1:4" x14ac:dyDescent="0.3">
      <c r="A134">
        <v>3133</v>
      </c>
      <c r="B134">
        <v>1012</v>
      </c>
      <c r="C134">
        <v>2049</v>
      </c>
      <c r="D134">
        <v>2</v>
      </c>
    </row>
    <row r="135" spans="1:4" x14ac:dyDescent="0.3">
      <c r="A135">
        <v>3134</v>
      </c>
      <c r="B135">
        <v>1017</v>
      </c>
      <c r="C135">
        <v>2050</v>
      </c>
      <c r="D135">
        <v>8</v>
      </c>
    </row>
    <row r="136" spans="1:4" x14ac:dyDescent="0.3">
      <c r="A136">
        <v>3135</v>
      </c>
      <c r="B136">
        <v>1007</v>
      </c>
      <c r="C136">
        <v>2037</v>
      </c>
      <c r="D136">
        <v>3</v>
      </c>
    </row>
    <row r="137" spans="1:4" x14ac:dyDescent="0.3">
      <c r="A137">
        <v>3136</v>
      </c>
      <c r="B137">
        <v>1004</v>
      </c>
      <c r="C137">
        <v>2006</v>
      </c>
      <c r="D137">
        <v>7</v>
      </c>
    </row>
    <row r="138" spans="1:4" x14ac:dyDescent="0.3">
      <c r="A138">
        <v>3137</v>
      </c>
      <c r="B138">
        <v>1013</v>
      </c>
      <c r="C138">
        <v>2019</v>
      </c>
      <c r="D138">
        <v>1</v>
      </c>
    </row>
    <row r="139" spans="1:4" x14ac:dyDescent="0.3">
      <c r="A139">
        <v>3138</v>
      </c>
      <c r="B139">
        <v>1014</v>
      </c>
      <c r="C139">
        <v>2040</v>
      </c>
      <c r="D139">
        <v>10</v>
      </c>
    </row>
    <row r="140" spans="1:4" x14ac:dyDescent="0.3">
      <c r="A140">
        <v>3139</v>
      </c>
      <c r="B140">
        <v>1006</v>
      </c>
      <c r="C140">
        <v>2032</v>
      </c>
      <c r="D140">
        <v>10</v>
      </c>
    </row>
    <row r="141" spans="1:4" x14ac:dyDescent="0.3">
      <c r="A141">
        <v>3140</v>
      </c>
      <c r="B141">
        <v>1003</v>
      </c>
      <c r="C141">
        <v>2006</v>
      </c>
      <c r="D141">
        <v>5</v>
      </c>
    </row>
    <row r="142" spans="1:4" x14ac:dyDescent="0.3">
      <c r="A142">
        <v>3141</v>
      </c>
      <c r="B142">
        <v>1011</v>
      </c>
      <c r="C142">
        <v>2034</v>
      </c>
      <c r="D142">
        <v>7</v>
      </c>
    </row>
    <row r="143" spans="1:4" x14ac:dyDescent="0.3">
      <c r="A143">
        <v>3142</v>
      </c>
      <c r="B143">
        <v>1004</v>
      </c>
      <c r="C143">
        <v>2023</v>
      </c>
      <c r="D143">
        <v>3</v>
      </c>
    </row>
    <row r="144" spans="1:4" x14ac:dyDescent="0.3">
      <c r="A144">
        <v>3143</v>
      </c>
      <c r="B144">
        <v>1020</v>
      </c>
      <c r="C144">
        <v>2008</v>
      </c>
      <c r="D144">
        <v>10</v>
      </c>
    </row>
    <row r="145" spans="1:4" x14ac:dyDescent="0.3">
      <c r="A145">
        <v>3144</v>
      </c>
      <c r="B145">
        <v>1011</v>
      </c>
      <c r="C145">
        <v>2035</v>
      </c>
      <c r="D145">
        <v>7</v>
      </c>
    </row>
    <row r="146" spans="1:4" x14ac:dyDescent="0.3">
      <c r="A146">
        <v>3145</v>
      </c>
      <c r="B146">
        <v>1019</v>
      </c>
      <c r="C146">
        <v>2013</v>
      </c>
      <c r="D146">
        <v>6</v>
      </c>
    </row>
    <row r="147" spans="1:4" x14ac:dyDescent="0.3">
      <c r="A147">
        <v>3146</v>
      </c>
      <c r="B147">
        <v>1001</v>
      </c>
      <c r="C147">
        <v>2045</v>
      </c>
      <c r="D147">
        <v>7</v>
      </c>
    </row>
    <row r="148" spans="1:4" x14ac:dyDescent="0.3">
      <c r="A148">
        <v>3147</v>
      </c>
      <c r="B148">
        <v>1006</v>
      </c>
      <c r="C148">
        <v>2046</v>
      </c>
      <c r="D148">
        <v>6</v>
      </c>
    </row>
    <row r="149" spans="1:4" x14ac:dyDescent="0.3">
      <c r="A149">
        <v>3148</v>
      </c>
      <c r="B149">
        <v>1011</v>
      </c>
      <c r="C149">
        <v>2018</v>
      </c>
      <c r="D149">
        <v>1</v>
      </c>
    </row>
    <row r="150" spans="1:4" x14ac:dyDescent="0.3">
      <c r="A150">
        <v>3149</v>
      </c>
      <c r="B150">
        <v>1011</v>
      </c>
      <c r="C150">
        <v>2031</v>
      </c>
      <c r="D150">
        <v>7</v>
      </c>
    </row>
    <row r="151" spans="1:4" x14ac:dyDescent="0.3">
      <c r="A151">
        <v>3150</v>
      </c>
      <c r="B151">
        <v>1012</v>
      </c>
      <c r="C151">
        <v>2049</v>
      </c>
      <c r="D151">
        <v>6</v>
      </c>
    </row>
    <row r="152" spans="1:4" x14ac:dyDescent="0.3">
      <c r="A152">
        <v>3151</v>
      </c>
      <c r="B152">
        <v>1004</v>
      </c>
      <c r="C152">
        <v>2037</v>
      </c>
      <c r="D152">
        <v>3</v>
      </c>
    </row>
    <row r="153" spans="1:4" x14ac:dyDescent="0.3">
      <c r="A153">
        <v>3152</v>
      </c>
      <c r="B153">
        <v>1011</v>
      </c>
      <c r="C153">
        <v>2029</v>
      </c>
      <c r="D153">
        <v>6</v>
      </c>
    </row>
    <row r="154" spans="1:4" x14ac:dyDescent="0.3">
      <c r="A154">
        <v>3153</v>
      </c>
      <c r="B154">
        <v>1003</v>
      </c>
      <c r="C154">
        <v>2012</v>
      </c>
      <c r="D154">
        <v>9</v>
      </c>
    </row>
    <row r="155" spans="1:4" x14ac:dyDescent="0.3">
      <c r="A155">
        <v>3154</v>
      </c>
      <c r="B155">
        <v>1001</v>
      </c>
      <c r="C155">
        <v>2020</v>
      </c>
      <c r="D155">
        <v>6</v>
      </c>
    </row>
    <row r="156" spans="1:4" x14ac:dyDescent="0.3">
      <c r="A156">
        <v>3155</v>
      </c>
      <c r="B156">
        <v>1005</v>
      </c>
      <c r="C156">
        <v>2034</v>
      </c>
      <c r="D156">
        <v>2</v>
      </c>
    </row>
    <row r="157" spans="1:4" x14ac:dyDescent="0.3">
      <c r="A157">
        <v>3156</v>
      </c>
      <c r="B157">
        <v>1003</v>
      </c>
      <c r="C157">
        <v>2004</v>
      </c>
      <c r="D157">
        <v>8</v>
      </c>
    </row>
    <row r="158" spans="1:4" x14ac:dyDescent="0.3">
      <c r="A158">
        <v>3157</v>
      </c>
      <c r="B158">
        <v>1018</v>
      </c>
      <c r="C158">
        <v>2028</v>
      </c>
      <c r="D158">
        <v>2</v>
      </c>
    </row>
    <row r="159" spans="1:4" x14ac:dyDescent="0.3">
      <c r="A159">
        <v>3158</v>
      </c>
      <c r="B159">
        <v>1001</v>
      </c>
      <c r="C159">
        <v>2017</v>
      </c>
      <c r="D159">
        <v>2</v>
      </c>
    </row>
    <row r="160" spans="1:4" x14ac:dyDescent="0.3">
      <c r="A160">
        <v>3159</v>
      </c>
      <c r="B160">
        <v>1013</v>
      </c>
      <c r="C160">
        <v>2048</v>
      </c>
      <c r="D160">
        <v>5</v>
      </c>
    </row>
    <row r="161" spans="1:4" x14ac:dyDescent="0.3">
      <c r="A161">
        <v>3160</v>
      </c>
      <c r="B161">
        <v>1003</v>
      </c>
      <c r="C161">
        <v>2008</v>
      </c>
      <c r="D161">
        <v>7</v>
      </c>
    </row>
    <row r="162" spans="1:4" x14ac:dyDescent="0.3">
      <c r="A162">
        <v>3161</v>
      </c>
      <c r="B162">
        <v>1020</v>
      </c>
      <c r="C162">
        <v>2044</v>
      </c>
      <c r="D162">
        <v>10</v>
      </c>
    </row>
    <row r="163" spans="1:4" x14ac:dyDescent="0.3">
      <c r="A163">
        <v>3162</v>
      </c>
      <c r="B163">
        <v>1005</v>
      </c>
      <c r="C163">
        <v>2014</v>
      </c>
      <c r="D163">
        <v>5</v>
      </c>
    </row>
    <row r="164" spans="1:4" x14ac:dyDescent="0.3">
      <c r="A164">
        <v>3163</v>
      </c>
      <c r="B164">
        <v>1005</v>
      </c>
      <c r="C164">
        <v>2022</v>
      </c>
      <c r="D164">
        <v>10</v>
      </c>
    </row>
    <row r="165" spans="1:4" x14ac:dyDescent="0.3">
      <c r="A165">
        <v>3164</v>
      </c>
      <c r="B165">
        <v>1014</v>
      </c>
      <c r="C165">
        <v>2002</v>
      </c>
      <c r="D165">
        <v>5</v>
      </c>
    </row>
    <row r="166" spans="1:4" x14ac:dyDescent="0.3">
      <c r="A166">
        <v>3165</v>
      </c>
      <c r="B166">
        <v>1015</v>
      </c>
      <c r="C166">
        <v>2028</v>
      </c>
      <c r="D166">
        <v>4</v>
      </c>
    </row>
    <row r="167" spans="1:4" x14ac:dyDescent="0.3">
      <c r="A167">
        <v>3166</v>
      </c>
      <c r="B167">
        <v>1014</v>
      </c>
      <c r="C167">
        <v>2040</v>
      </c>
      <c r="D167">
        <v>3</v>
      </c>
    </row>
    <row r="168" spans="1:4" x14ac:dyDescent="0.3">
      <c r="A168">
        <v>3167</v>
      </c>
      <c r="B168">
        <v>1004</v>
      </c>
      <c r="C168">
        <v>2025</v>
      </c>
      <c r="D168">
        <v>8</v>
      </c>
    </row>
    <row r="169" spans="1:4" x14ac:dyDescent="0.3">
      <c r="A169">
        <v>3168</v>
      </c>
      <c r="B169">
        <v>1016</v>
      </c>
      <c r="C169">
        <v>2047</v>
      </c>
      <c r="D169">
        <v>6</v>
      </c>
    </row>
    <row r="170" spans="1:4" x14ac:dyDescent="0.3">
      <c r="A170">
        <v>3169</v>
      </c>
      <c r="B170">
        <v>1016</v>
      </c>
      <c r="C170">
        <v>2041</v>
      </c>
      <c r="D170">
        <v>3</v>
      </c>
    </row>
    <row r="171" spans="1:4" x14ac:dyDescent="0.3">
      <c r="A171">
        <v>3170</v>
      </c>
      <c r="B171">
        <v>1007</v>
      </c>
      <c r="C171">
        <v>2021</v>
      </c>
      <c r="D171">
        <v>6</v>
      </c>
    </row>
    <row r="172" spans="1:4" x14ac:dyDescent="0.3">
      <c r="A172">
        <v>3171</v>
      </c>
      <c r="B172">
        <v>1011</v>
      </c>
      <c r="C172">
        <v>2005</v>
      </c>
      <c r="D172">
        <v>2</v>
      </c>
    </row>
    <row r="173" spans="1:4" x14ac:dyDescent="0.3">
      <c r="A173">
        <v>3172</v>
      </c>
      <c r="B173">
        <v>1019</v>
      </c>
      <c r="C173">
        <v>2034</v>
      </c>
      <c r="D173">
        <v>9</v>
      </c>
    </row>
    <row r="174" spans="1:4" x14ac:dyDescent="0.3">
      <c r="A174">
        <v>3173</v>
      </c>
      <c r="B174">
        <v>1011</v>
      </c>
      <c r="C174">
        <v>2050</v>
      </c>
      <c r="D174">
        <v>4</v>
      </c>
    </row>
    <row r="175" spans="1:4" x14ac:dyDescent="0.3">
      <c r="A175">
        <v>3174</v>
      </c>
      <c r="B175">
        <v>1008</v>
      </c>
      <c r="C175">
        <v>2047</v>
      </c>
      <c r="D175">
        <v>8</v>
      </c>
    </row>
    <row r="176" spans="1:4" x14ac:dyDescent="0.3">
      <c r="A176">
        <v>3175</v>
      </c>
      <c r="B176">
        <v>1017</v>
      </c>
      <c r="C176">
        <v>2046</v>
      </c>
      <c r="D176">
        <v>9</v>
      </c>
    </row>
    <row r="177" spans="1:4" x14ac:dyDescent="0.3">
      <c r="A177">
        <v>3176</v>
      </c>
      <c r="B177">
        <v>1009</v>
      </c>
      <c r="C177">
        <v>2008</v>
      </c>
      <c r="D177">
        <v>7</v>
      </c>
    </row>
    <row r="178" spans="1:4" x14ac:dyDescent="0.3">
      <c r="A178">
        <v>3177</v>
      </c>
      <c r="B178">
        <v>1010</v>
      </c>
      <c r="C178">
        <v>2020</v>
      </c>
      <c r="D178">
        <v>5</v>
      </c>
    </row>
    <row r="179" spans="1:4" x14ac:dyDescent="0.3">
      <c r="A179">
        <v>3178</v>
      </c>
      <c r="B179">
        <v>1003</v>
      </c>
      <c r="C179">
        <v>2017</v>
      </c>
      <c r="D179">
        <v>9</v>
      </c>
    </row>
    <row r="180" spans="1:4" x14ac:dyDescent="0.3">
      <c r="A180">
        <v>3179</v>
      </c>
      <c r="B180">
        <v>1003</v>
      </c>
      <c r="C180">
        <v>2023</v>
      </c>
      <c r="D180">
        <v>7</v>
      </c>
    </row>
    <row r="181" spans="1:4" x14ac:dyDescent="0.3">
      <c r="A181">
        <v>3180</v>
      </c>
      <c r="B181">
        <v>1010</v>
      </c>
      <c r="C181">
        <v>2045</v>
      </c>
      <c r="D181">
        <v>6</v>
      </c>
    </row>
    <row r="182" spans="1:4" x14ac:dyDescent="0.3">
      <c r="A182">
        <v>3181</v>
      </c>
      <c r="B182">
        <v>1003</v>
      </c>
      <c r="C182">
        <v>2007</v>
      </c>
      <c r="D182">
        <v>4</v>
      </c>
    </row>
    <row r="183" spans="1:4" x14ac:dyDescent="0.3">
      <c r="A183">
        <v>3182</v>
      </c>
      <c r="B183">
        <v>1014</v>
      </c>
      <c r="C183">
        <v>2048</v>
      </c>
      <c r="D183">
        <v>8</v>
      </c>
    </row>
    <row r="184" spans="1:4" x14ac:dyDescent="0.3">
      <c r="A184">
        <v>3183</v>
      </c>
      <c r="B184">
        <v>1015</v>
      </c>
      <c r="C184">
        <v>2018</v>
      </c>
      <c r="D184">
        <v>6</v>
      </c>
    </row>
    <row r="185" spans="1:4" x14ac:dyDescent="0.3">
      <c r="A185">
        <v>3184</v>
      </c>
      <c r="B185">
        <v>1001</v>
      </c>
      <c r="C185">
        <v>2015</v>
      </c>
      <c r="D185">
        <v>2</v>
      </c>
    </row>
    <row r="186" spans="1:4" x14ac:dyDescent="0.3">
      <c r="A186">
        <v>3185</v>
      </c>
      <c r="B186">
        <v>1018</v>
      </c>
      <c r="C186">
        <v>2002</v>
      </c>
      <c r="D186">
        <v>3</v>
      </c>
    </row>
    <row r="187" spans="1:4" x14ac:dyDescent="0.3">
      <c r="A187">
        <v>3186</v>
      </c>
      <c r="B187">
        <v>1016</v>
      </c>
      <c r="C187">
        <v>2048</v>
      </c>
      <c r="D187">
        <v>1</v>
      </c>
    </row>
    <row r="188" spans="1:4" x14ac:dyDescent="0.3">
      <c r="A188">
        <v>3187</v>
      </c>
      <c r="B188">
        <v>1011</v>
      </c>
      <c r="C188">
        <v>2011</v>
      </c>
      <c r="D188">
        <v>1</v>
      </c>
    </row>
    <row r="189" spans="1:4" x14ac:dyDescent="0.3">
      <c r="A189">
        <v>3188</v>
      </c>
      <c r="B189">
        <v>1011</v>
      </c>
      <c r="C189">
        <v>2014</v>
      </c>
      <c r="D189">
        <v>3</v>
      </c>
    </row>
    <row r="190" spans="1:4" x14ac:dyDescent="0.3">
      <c r="A190">
        <v>3189</v>
      </c>
      <c r="B190">
        <v>1005</v>
      </c>
      <c r="C190">
        <v>2023</v>
      </c>
      <c r="D190">
        <v>7</v>
      </c>
    </row>
    <row r="191" spans="1:4" x14ac:dyDescent="0.3">
      <c r="A191">
        <v>3190</v>
      </c>
      <c r="B191">
        <v>1019</v>
      </c>
      <c r="C191">
        <v>2032</v>
      </c>
      <c r="D191">
        <v>6</v>
      </c>
    </row>
    <row r="192" spans="1:4" x14ac:dyDescent="0.3">
      <c r="A192">
        <v>3191</v>
      </c>
      <c r="B192">
        <v>1002</v>
      </c>
      <c r="C192">
        <v>2015</v>
      </c>
      <c r="D192">
        <v>10</v>
      </c>
    </row>
    <row r="193" spans="1:4" x14ac:dyDescent="0.3">
      <c r="A193">
        <v>3192</v>
      </c>
      <c r="B193">
        <v>1002</v>
      </c>
      <c r="C193">
        <v>2015</v>
      </c>
      <c r="D193">
        <v>2</v>
      </c>
    </row>
    <row r="194" spans="1:4" x14ac:dyDescent="0.3">
      <c r="A194">
        <v>3193</v>
      </c>
      <c r="B194">
        <v>1020</v>
      </c>
      <c r="C194">
        <v>2034</v>
      </c>
      <c r="D194">
        <v>5</v>
      </c>
    </row>
    <row r="195" spans="1:4" x14ac:dyDescent="0.3">
      <c r="A195">
        <v>3194</v>
      </c>
      <c r="B195">
        <v>1017</v>
      </c>
      <c r="C195">
        <v>2033</v>
      </c>
      <c r="D195">
        <v>1</v>
      </c>
    </row>
    <row r="196" spans="1:4" x14ac:dyDescent="0.3">
      <c r="A196">
        <v>3195</v>
      </c>
      <c r="B196">
        <v>1008</v>
      </c>
      <c r="C196">
        <v>2042</v>
      </c>
      <c r="D196">
        <v>6</v>
      </c>
    </row>
    <row r="197" spans="1:4" x14ac:dyDescent="0.3">
      <c r="A197">
        <v>3196</v>
      </c>
      <c r="B197">
        <v>1006</v>
      </c>
      <c r="C197">
        <v>2042</v>
      </c>
      <c r="D197">
        <v>6</v>
      </c>
    </row>
    <row r="198" spans="1:4" x14ac:dyDescent="0.3">
      <c r="A198">
        <v>3197</v>
      </c>
      <c r="B198">
        <v>1006</v>
      </c>
      <c r="C198">
        <v>2046</v>
      </c>
      <c r="D198">
        <v>4</v>
      </c>
    </row>
    <row r="199" spans="1:4" x14ac:dyDescent="0.3">
      <c r="A199">
        <v>3198</v>
      </c>
      <c r="B199">
        <v>1002</v>
      </c>
      <c r="C199">
        <v>2047</v>
      </c>
      <c r="D199">
        <v>6</v>
      </c>
    </row>
    <row r="200" spans="1:4" x14ac:dyDescent="0.3">
      <c r="A200">
        <v>3199</v>
      </c>
      <c r="B200">
        <v>1016</v>
      </c>
      <c r="C200">
        <v>2045</v>
      </c>
      <c r="D200">
        <v>8</v>
      </c>
    </row>
    <row r="201" spans="1:4" x14ac:dyDescent="0.3">
      <c r="A201">
        <v>3200</v>
      </c>
      <c r="B201">
        <v>1006</v>
      </c>
      <c r="C201">
        <v>2019</v>
      </c>
      <c r="D201">
        <v>2</v>
      </c>
    </row>
    <row r="202" spans="1:4" x14ac:dyDescent="0.3">
      <c r="A202">
        <v>3201</v>
      </c>
      <c r="B202">
        <v>1020</v>
      </c>
      <c r="C202">
        <v>2026</v>
      </c>
      <c r="D202">
        <v>8</v>
      </c>
    </row>
    <row r="203" spans="1:4" x14ac:dyDescent="0.3">
      <c r="A203">
        <v>3202</v>
      </c>
      <c r="B203">
        <v>1008</v>
      </c>
      <c r="C203">
        <v>2002</v>
      </c>
      <c r="D203">
        <v>7</v>
      </c>
    </row>
    <row r="204" spans="1:4" x14ac:dyDescent="0.3">
      <c r="A204">
        <v>3203</v>
      </c>
      <c r="B204">
        <v>1016</v>
      </c>
      <c r="C204">
        <v>2002</v>
      </c>
      <c r="D204">
        <v>10</v>
      </c>
    </row>
    <row r="205" spans="1:4" x14ac:dyDescent="0.3">
      <c r="A205">
        <v>3204</v>
      </c>
      <c r="B205">
        <v>1009</v>
      </c>
      <c r="C205">
        <v>2024</v>
      </c>
      <c r="D205">
        <v>6</v>
      </c>
    </row>
    <row r="206" spans="1:4" x14ac:dyDescent="0.3">
      <c r="A206">
        <v>3205</v>
      </c>
      <c r="B206">
        <v>1003</v>
      </c>
      <c r="C206">
        <v>2033</v>
      </c>
      <c r="D206">
        <v>8</v>
      </c>
    </row>
    <row r="207" spans="1:4" x14ac:dyDescent="0.3">
      <c r="A207">
        <v>3206</v>
      </c>
      <c r="B207">
        <v>1002</v>
      </c>
      <c r="C207">
        <v>2004</v>
      </c>
      <c r="D207">
        <v>7</v>
      </c>
    </row>
    <row r="208" spans="1:4" x14ac:dyDescent="0.3">
      <c r="A208">
        <v>3207</v>
      </c>
      <c r="B208">
        <v>1011</v>
      </c>
      <c r="C208">
        <v>2006</v>
      </c>
      <c r="D208">
        <v>2</v>
      </c>
    </row>
    <row r="209" spans="1:4" x14ac:dyDescent="0.3">
      <c r="A209">
        <v>3208</v>
      </c>
      <c r="B209">
        <v>1010</v>
      </c>
      <c r="C209">
        <v>2044</v>
      </c>
      <c r="D209">
        <v>8</v>
      </c>
    </row>
    <row r="210" spans="1:4" x14ac:dyDescent="0.3">
      <c r="A210">
        <v>3209</v>
      </c>
      <c r="B210">
        <v>1016</v>
      </c>
      <c r="C210">
        <v>2006</v>
      </c>
      <c r="D210">
        <v>3</v>
      </c>
    </row>
    <row r="211" spans="1:4" x14ac:dyDescent="0.3">
      <c r="A211">
        <v>3210</v>
      </c>
      <c r="B211">
        <v>1017</v>
      </c>
      <c r="C211">
        <v>2007</v>
      </c>
      <c r="D211">
        <v>10</v>
      </c>
    </row>
    <row r="212" spans="1:4" x14ac:dyDescent="0.3">
      <c r="A212">
        <v>3211</v>
      </c>
      <c r="B212">
        <v>1014</v>
      </c>
      <c r="C212">
        <v>2047</v>
      </c>
      <c r="D212">
        <v>8</v>
      </c>
    </row>
    <row r="213" spans="1:4" x14ac:dyDescent="0.3">
      <c r="A213">
        <v>3212</v>
      </c>
      <c r="B213">
        <v>1018</v>
      </c>
      <c r="C213">
        <v>2040</v>
      </c>
      <c r="D213">
        <v>8</v>
      </c>
    </row>
    <row r="214" spans="1:4" x14ac:dyDescent="0.3">
      <c r="A214">
        <v>3213</v>
      </c>
      <c r="B214">
        <v>1007</v>
      </c>
      <c r="C214">
        <v>2019</v>
      </c>
      <c r="D214">
        <v>10</v>
      </c>
    </row>
    <row r="215" spans="1:4" x14ac:dyDescent="0.3">
      <c r="A215">
        <v>3214</v>
      </c>
      <c r="B215">
        <v>1005</v>
      </c>
      <c r="C215">
        <v>2035</v>
      </c>
      <c r="D215">
        <v>7</v>
      </c>
    </row>
    <row r="216" spans="1:4" x14ac:dyDescent="0.3">
      <c r="A216">
        <v>3215</v>
      </c>
      <c r="B216">
        <v>1005</v>
      </c>
      <c r="C216">
        <v>2010</v>
      </c>
      <c r="D216">
        <v>2</v>
      </c>
    </row>
    <row r="217" spans="1:4" x14ac:dyDescent="0.3">
      <c r="A217">
        <v>3216</v>
      </c>
      <c r="B217">
        <v>1003</v>
      </c>
      <c r="C217">
        <v>2036</v>
      </c>
      <c r="D217">
        <v>9</v>
      </c>
    </row>
    <row r="218" spans="1:4" x14ac:dyDescent="0.3">
      <c r="A218">
        <v>3217</v>
      </c>
      <c r="B218">
        <v>1011</v>
      </c>
      <c r="C218">
        <v>2042</v>
      </c>
      <c r="D218">
        <v>3</v>
      </c>
    </row>
    <row r="219" spans="1:4" x14ac:dyDescent="0.3">
      <c r="A219">
        <v>3218</v>
      </c>
      <c r="B219">
        <v>1014</v>
      </c>
      <c r="C219">
        <v>2040</v>
      </c>
      <c r="D219">
        <v>3</v>
      </c>
    </row>
    <row r="220" spans="1:4" x14ac:dyDescent="0.3">
      <c r="A220">
        <v>3219</v>
      </c>
      <c r="B220">
        <v>1001</v>
      </c>
      <c r="C220">
        <v>2010</v>
      </c>
      <c r="D220">
        <v>4</v>
      </c>
    </row>
    <row r="221" spans="1:4" x14ac:dyDescent="0.3">
      <c r="A221">
        <v>3220</v>
      </c>
      <c r="B221">
        <v>1013</v>
      </c>
      <c r="C221">
        <v>2005</v>
      </c>
      <c r="D221">
        <v>10</v>
      </c>
    </row>
    <row r="222" spans="1:4" x14ac:dyDescent="0.3">
      <c r="A222">
        <v>3221</v>
      </c>
      <c r="B222">
        <v>1013</v>
      </c>
      <c r="C222">
        <v>2022</v>
      </c>
      <c r="D222">
        <v>8</v>
      </c>
    </row>
    <row r="223" spans="1:4" x14ac:dyDescent="0.3">
      <c r="A223">
        <v>3222</v>
      </c>
      <c r="B223">
        <v>1009</v>
      </c>
      <c r="C223">
        <v>2010</v>
      </c>
      <c r="D223">
        <v>2</v>
      </c>
    </row>
    <row r="224" spans="1:4" x14ac:dyDescent="0.3">
      <c r="A224">
        <v>3223</v>
      </c>
      <c r="B224">
        <v>1009</v>
      </c>
      <c r="C224">
        <v>2045</v>
      </c>
      <c r="D224">
        <v>7</v>
      </c>
    </row>
    <row r="225" spans="1:4" x14ac:dyDescent="0.3">
      <c r="A225">
        <v>3224</v>
      </c>
      <c r="B225">
        <v>1017</v>
      </c>
      <c r="C225">
        <v>2021</v>
      </c>
      <c r="D225">
        <v>8</v>
      </c>
    </row>
    <row r="226" spans="1:4" x14ac:dyDescent="0.3">
      <c r="A226">
        <v>3225</v>
      </c>
      <c r="B226">
        <v>1003</v>
      </c>
      <c r="C226">
        <v>2024</v>
      </c>
      <c r="D226">
        <v>3</v>
      </c>
    </row>
    <row r="227" spans="1:4" x14ac:dyDescent="0.3">
      <c r="A227">
        <v>3226</v>
      </c>
      <c r="B227">
        <v>1017</v>
      </c>
      <c r="C227">
        <v>2041</v>
      </c>
      <c r="D227">
        <v>5</v>
      </c>
    </row>
    <row r="228" spans="1:4" x14ac:dyDescent="0.3">
      <c r="A228">
        <v>3227</v>
      </c>
      <c r="B228">
        <v>1008</v>
      </c>
      <c r="C228">
        <v>2038</v>
      </c>
      <c r="D228">
        <v>7</v>
      </c>
    </row>
    <row r="229" spans="1:4" x14ac:dyDescent="0.3">
      <c r="A229">
        <v>3228</v>
      </c>
      <c r="B229">
        <v>1010</v>
      </c>
      <c r="C229">
        <v>2048</v>
      </c>
      <c r="D229">
        <v>9</v>
      </c>
    </row>
    <row r="230" spans="1:4" x14ac:dyDescent="0.3">
      <c r="A230">
        <v>3229</v>
      </c>
      <c r="B230">
        <v>1016</v>
      </c>
      <c r="C230">
        <v>2032</v>
      </c>
      <c r="D230">
        <v>9</v>
      </c>
    </row>
    <row r="231" spans="1:4" x14ac:dyDescent="0.3">
      <c r="A231">
        <v>3230</v>
      </c>
      <c r="B231">
        <v>1008</v>
      </c>
      <c r="C231">
        <v>2018</v>
      </c>
      <c r="D231">
        <v>1</v>
      </c>
    </row>
    <row r="232" spans="1:4" x14ac:dyDescent="0.3">
      <c r="A232">
        <v>3231</v>
      </c>
      <c r="B232">
        <v>1013</v>
      </c>
      <c r="C232">
        <v>2011</v>
      </c>
      <c r="D232">
        <v>8</v>
      </c>
    </row>
    <row r="233" spans="1:4" x14ac:dyDescent="0.3">
      <c r="A233">
        <v>3232</v>
      </c>
      <c r="B233">
        <v>1015</v>
      </c>
      <c r="C233">
        <v>2024</v>
      </c>
      <c r="D233">
        <v>10</v>
      </c>
    </row>
    <row r="234" spans="1:4" x14ac:dyDescent="0.3">
      <c r="A234">
        <v>3233</v>
      </c>
      <c r="B234">
        <v>1018</v>
      </c>
      <c r="C234">
        <v>2027</v>
      </c>
      <c r="D234">
        <v>6</v>
      </c>
    </row>
    <row r="235" spans="1:4" x14ac:dyDescent="0.3">
      <c r="A235">
        <v>3234</v>
      </c>
      <c r="B235">
        <v>1014</v>
      </c>
      <c r="C235">
        <v>2015</v>
      </c>
      <c r="D235">
        <v>9</v>
      </c>
    </row>
    <row r="236" spans="1:4" x14ac:dyDescent="0.3">
      <c r="A236">
        <v>3235</v>
      </c>
      <c r="B236">
        <v>1007</v>
      </c>
      <c r="C236">
        <v>2037</v>
      </c>
      <c r="D236">
        <v>10</v>
      </c>
    </row>
    <row r="237" spans="1:4" x14ac:dyDescent="0.3">
      <c r="A237">
        <v>3236</v>
      </c>
      <c r="B237">
        <v>1015</v>
      </c>
      <c r="C237">
        <v>2034</v>
      </c>
      <c r="D237">
        <v>7</v>
      </c>
    </row>
    <row r="238" spans="1:4" x14ac:dyDescent="0.3">
      <c r="A238">
        <v>3237</v>
      </c>
      <c r="B238">
        <v>1002</v>
      </c>
      <c r="C238">
        <v>2004</v>
      </c>
      <c r="D238">
        <v>5</v>
      </c>
    </row>
    <row r="239" spans="1:4" x14ac:dyDescent="0.3">
      <c r="A239">
        <v>3238</v>
      </c>
      <c r="B239">
        <v>1013</v>
      </c>
      <c r="C239">
        <v>2043</v>
      </c>
      <c r="D239">
        <v>4</v>
      </c>
    </row>
    <row r="240" spans="1:4" x14ac:dyDescent="0.3">
      <c r="A240">
        <v>3239</v>
      </c>
      <c r="B240">
        <v>1009</v>
      </c>
      <c r="C240">
        <v>2013</v>
      </c>
      <c r="D240">
        <v>2</v>
      </c>
    </row>
    <row r="241" spans="1:4" x14ac:dyDescent="0.3">
      <c r="A241">
        <v>3240</v>
      </c>
      <c r="B241">
        <v>1010</v>
      </c>
      <c r="C241">
        <v>2007</v>
      </c>
      <c r="D241">
        <v>1</v>
      </c>
    </row>
    <row r="242" spans="1:4" x14ac:dyDescent="0.3">
      <c r="A242">
        <v>3241</v>
      </c>
      <c r="B242">
        <v>1004</v>
      </c>
      <c r="C242">
        <v>2043</v>
      </c>
      <c r="D242">
        <v>6</v>
      </c>
    </row>
    <row r="243" spans="1:4" x14ac:dyDescent="0.3">
      <c r="A243">
        <v>3242</v>
      </c>
      <c r="B243">
        <v>1013</v>
      </c>
      <c r="C243">
        <v>2007</v>
      </c>
      <c r="D243">
        <v>6</v>
      </c>
    </row>
    <row r="244" spans="1:4" x14ac:dyDescent="0.3">
      <c r="A244">
        <v>3243</v>
      </c>
      <c r="B244">
        <v>1014</v>
      </c>
      <c r="C244">
        <v>2006</v>
      </c>
      <c r="D244">
        <v>6</v>
      </c>
    </row>
    <row r="245" spans="1:4" x14ac:dyDescent="0.3">
      <c r="A245">
        <v>3244</v>
      </c>
      <c r="B245">
        <v>1005</v>
      </c>
      <c r="C245">
        <v>2047</v>
      </c>
      <c r="D245">
        <v>6</v>
      </c>
    </row>
    <row r="246" spans="1:4" x14ac:dyDescent="0.3">
      <c r="A246">
        <v>3245</v>
      </c>
      <c r="B246">
        <v>1020</v>
      </c>
      <c r="C246">
        <v>2033</v>
      </c>
      <c r="D246">
        <v>6</v>
      </c>
    </row>
    <row r="247" spans="1:4" x14ac:dyDescent="0.3">
      <c r="A247">
        <v>3246</v>
      </c>
      <c r="B247">
        <v>1001</v>
      </c>
      <c r="C247">
        <v>2022</v>
      </c>
      <c r="D247">
        <v>4</v>
      </c>
    </row>
    <row r="248" spans="1:4" x14ac:dyDescent="0.3">
      <c r="A248">
        <v>3247</v>
      </c>
      <c r="B248">
        <v>1019</v>
      </c>
      <c r="C248">
        <v>2025</v>
      </c>
      <c r="D248">
        <v>7</v>
      </c>
    </row>
    <row r="249" spans="1:4" x14ac:dyDescent="0.3">
      <c r="A249">
        <v>3248</v>
      </c>
      <c r="B249">
        <v>1015</v>
      </c>
      <c r="C249">
        <v>2004</v>
      </c>
      <c r="D249">
        <v>10</v>
      </c>
    </row>
    <row r="250" spans="1:4" x14ac:dyDescent="0.3">
      <c r="A250">
        <v>3249</v>
      </c>
      <c r="B250">
        <v>1017</v>
      </c>
      <c r="C250">
        <v>2022</v>
      </c>
      <c r="D250">
        <v>1</v>
      </c>
    </row>
    <row r="251" spans="1:4" x14ac:dyDescent="0.3">
      <c r="A251">
        <v>3250</v>
      </c>
      <c r="B251">
        <v>1019</v>
      </c>
      <c r="C251">
        <v>2040</v>
      </c>
      <c r="D251">
        <v>7</v>
      </c>
    </row>
    <row r="252" spans="1:4" x14ac:dyDescent="0.3">
      <c r="A252">
        <v>3251</v>
      </c>
      <c r="B252">
        <v>1010</v>
      </c>
      <c r="C252">
        <v>2024</v>
      </c>
      <c r="D252">
        <v>10</v>
      </c>
    </row>
    <row r="253" spans="1:4" x14ac:dyDescent="0.3">
      <c r="A253">
        <v>3252</v>
      </c>
      <c r="B253">
        <v>1003</v>
      </c>
      <c r="C253">
        <v>2031</v>
      </c>
      <c r="D253">
        <v>2</v>
      </c>
    </row>
    <row r="254" spans="1:4" x14ac:dyDescent="0.3">
      <c r="A254">
        <v>3253</v>
      </c>
      <c r="B254">
        <v>1016</v>
      </c>
      <c r="C254">
        <v>2013</v>
      </c>
      <c r="D254">
        <v>9</v>
      </c>
    </row>
    <row r="255" spans="1:4" x14ac:dyDescent="0.3">
      <c r="A255">
        <v>3254</v>
      </c>
      <c r="B255">
        <v>1002</v>
      </c>
      <c r="C255">
        <v>2020</v>
      </c>
      <c r="D255">
        <v>6</v>
      </c>
    </row>
    <row r="256" spans="1:4" x14ac:dyDescent="0.3">
      <c r="A256">
        <v>3255</v>
      </c>
      <c r="B256">
        <v>1020</v>
      </c>
      <c r="C256">
        <v>2035</v>
      </c>
      <c r="D256">
        <v>2</v>
      </c>
    </row>
    <row r="257" spans="1:4" x14ac:dyDescent="0.3">
      <c r="A257">
        <v>3256</v>
      </c>
      <c r="B257">
        <v>1016</v>
      </c>
      <c r="C257">
        <v>2001</v>
      </c>
      <c r="D257">
        <v>9</v>
      </c>
    </row>
    <row r="258" spans="1:4" x14ac:dyDescent="0.3">
      <c r="A258">
        <v>3257</v>
      </c>
      <c r="B258">
        <v>1015</v>
      </c>
      <c r="C258">
        <v>2016</v>
      </c>
      <c r="D258">
        <v>4</v>
      </c>
    </row>
    <row r="259" spans="1:4" x14ac:dyDescent="0.3">
      <c r="A259">
        <v>3258</v>
      </c>
      <c r="B259">
        <v>1009</v>
      </c>
      <c r="C259">
        <v>2008</v>
      </c>
      <c r="D259">
        <v>10</v>
      </c>
    </row>
    <row r="260" spans="1:4" x14ac:dyDescent="0.3">
      <c r="A260">
        <v>3259</v>
      </c>
      <c r="B260">
        <v>1015</v>
      </c>
      <c r="C260">
        <v>2026</v>
      </c>
      <c r="D260">
        <v>7</v>
      </c>
    </row>
    <row r="261" spans="1:4" x14ac:dyDescent="0.3">
      <c r="A261">
        <v>3260</v>
      </c>
      <c r="B261">
        <v>1019</v>
      </c>
      <c r="C261">
        <v>2017</v>
      </c>
      <c r="D261">
        <v>9</v>
      </c>
    </row>
    <row r="262" spans="1:4" x14ac:dyDescent="0.3">
      <c r="A262">
        <v>3261</v>
      </c>
      <c r="B262">
        <v>1016</v>
      </c>
      <c r="C262">
        <v>2040</v>
      </c>
      <c r="D262">
        <v>5</v>
      </c>
    </row>
    <row r="263" spans="1:4" x14ac:dyDescent="0.3">
      <c r="A263">
        <v>3262</v>
      </c>
      <c r="B263">
        <v>1016</v>
      </c>
      <c r="C263">
        <v>2004</v>
      </c>
      <c r="D263">
        <v>1</v>
      </c>
    </row>
    <row r="264" spans="1:4" x14ac:dyDescent="0.3">
      <c r="A264">
        <v>3263</v>
      </c>
      <c r="B264">
        <v>1020</v>
      </c>
      <c r="C264">
        <v>2007</v>
      </c>
      <c r="D264">
        <v>4</v>
      </c>
    </row>
    <row r="265" spans="1:4" x14ac:dyDescent="0.3">
      <c r="A265">
        <v>3264</v>
      </c>
      <c r="B265">
        <v>1010</v>
      </c>
      <c r="C265">
        <v>2017</v>
      </c>
      <c r="D265">
        <v>6</v>
      </c>
    </row>
    <row r="266" spans="1:4" x14ac:dyDescent="0.3">
      <c r="A266">
        <v>3265</v>
      </c>
      <c r="B266">
        <v>1016</v>
      </c>
      <c r="C266">
        <v>2025</v>
      </c>
      <c r="D266">
        <v>8</v>
      </c>
    </row>
    <row r="267" spans="1:4" x14ac:dyDescent="0.3">
      <c r="A267">
        <v>3266</v>
      </c>
      <c r="B267">
        <v>1015</v>
      </c>
      <c r="C267">
        <v>2017</v>
      </c>
      <c r="D267">
        <v>2</v>
      </c>
    </row>
    <row r="268" spans="1:4" x14ac:dyDescent="0.3">
      <c r="A268">
        <v>3267</v>
      </c>
      <c r="B268">
        <v>1019</v>
      </c>
      <c r="C268">
        <v>2020</v>
      </c>
      <c r="D268">
        <v>10</v>
      </c>
    </row>
    <row r="269" spans="1:4" x14ac:dyDescent="0.3">
      <c r="A269">
        <v>3268</v>
      </c>
      <c r="B269">
        <v>1018</v>
      </c>
      <c r="C269">
        <v>2047</v>
      </c>
      <c r="D269">
        <v>9</v>
      </c>
    </row>
    <row r="270" spans="1:4" x14ac:dyDescent="0.3">
      <c r="A270">
        <v>3269</v>
      </c>
      <c r="B270">
        <v>1008</v>
      </c>
      <c r="C270">
        <v>2006</v>
      </c>
      <c r="D270">
        <v>5</v>
      </c>
    </row>
    <row r="271" spans="1:4" x14ac:dyDescent="0.3">
      <c r="A271">
        <v>3270</v>
      </c>
      <c r="B271">
        <v>1019</v>
      </c>
      <c r="C271">
        <v>2012</v>
      </c>
      <c r="D271">
        <v>7</v>
      </c>
    </row>
    <row r="272" spans="1:4" x14ac:dyDescent="0.3">
      <c r="A272">
        <v>3271</v>
      </c>
      <c r="B272">
        <v>1004</v>
      </c>
      <c r="C272">
        <v>2017</v>
      </c>
      <c r="D272">
        <v>7</v>
      </c>
    </row>
    <row r="273" spans="1:4" x14ac:dyDescent="0.3">
      <c r="A273">
        <v>3272</v>
      </c>
      <c r="B273">
        <v>1018</v>
      </c>
      <c r="C273">
        <v>2021</v>
      </c>
      <c r="D273">
        <v>5</v>
      </c>
    </row>
    <row r="274" spans="1:4" x14ac:dyDescent="0.3">
      <c r="A274">
        <v>3273</v>
      </c>
      <c r="B274">
        <v>1013</v>
      </c>
      <c r="C274">
        <v>2003</v>
      </c>
      <c r="D274">
        <v>7</v>
      </c>
    </row>
    <row r="275" spans="1:4" x14ac:dyDescent="0.3">
      <c r="A275">
        <v>3274</v>
      </c>
      <c r="B275">
        <v>1014</v>
      </c>
      <c r="C275">
        <v>2040</v>
      </c>
      <c r="D275">
        <v>2</v>
      </c>
    </row>
    <row r="276" spans="1:4" x14ac:dyDescent="0.3">
      <c r="A276">
        <v>3275</v>
      </c>
      <c r="B276">
        <v>1008</v>
      </c>
      <c r="C276">
        <v>2020</v>
      </c>
      <c r="D276">
        <v>6</v>
      </c>
    </row>
    <row r="277" spans="1:4" x14ac:dyDescent="0.3">
      <c r="A277">
        <v>3276</v>
      </c>
      <c r="B277">
        <v>1008</v>
      </c>
      <c r="C277">
        <v>2003</v>
      </c>
      <c r="D277">
        <v>4</v>
      </c>
    </row>
    <row r="278" spans="1:4" x14ac:dyDescent="0.3">
      <c r="A278">
        <v>3277</v>
      </c>
      <c r="B278">
        <v>1003</v>
      </c>
      <c r="C278">
        <v>2034</v>
      </c>
      <c r="D278">
        <v>1</v>
      </c>
    </row>
    <row r="279" spans="1:4" x14ac:dyDescent="0.3">
      <c r="A279">
        <v>3278</v>
      </c>
      <c r="B279">
        <v>1009</v>
      </c>
      <c r="C279">
        <v>2016</v>
      </c>
      <c r="D279">
        <v>4</v>
      </c>
    </row>
    <row r="280" spans="1:4" x14ac:dyDescent="0.3">
      <c r="A280">
        <v>3279</v>
      </c>
      <c r="B280">
        <v>1001</v>
      </c>
      <c r="C280">
        <v>2034</v>
      </c>
      <c r="D280">
        <v>7</v>
      </c>
    </row>
    <row r="281" spans="1:4" x14ac:dyDescent="0.3">
      <c r="A281">
        <v>3280</v>
      </c>
      <c r="B281">
        <v>1005</v>
      </c>
      <c r="C281">
        <v>2048</v>
      </c>
      <c r="D281">
        <v>9</v>
      </c>
    </row>
    <row r="282" spans="1:4" x14ac:dyDescent="0.3">
      <c r="A282">
        <v>3281</v>
      </c>
      <c r="B282">
        <v>1011</v>
      </c>
      <c r="C282">
        <v>2032</v>
      </c>
      <c r="D282">
        <v>1</v>
      </c>
    </row>
    <row r="283" spans="1:4" x14ac:dyDescent="0.3">
      <c r="A283">
        <v>3282</v>
      </c>
      <c r="B283">
        <v>1011</v>
      </c>
      <c r="C283">
        <v>2048</v>
      </c>
      <c r="D283">
        <v>2</v>
      </c>
    </row>
    <row r="284" spans="1:4" x14ac:dyDescent="0.3">
      <c r="A284">
        <v>3283</v>
      </c>
      <c r="B284">
        <v>1018</v>
      </c>
      <c r="C284">
        <v>2021</v>
      </c>
      <c r="D284">
        <v>8</v>
      </c>
    </row>
    <row r="285" spans="1:4" x14ac:dyDescent="0.3">
      <c r="A285">
        <v>3284</v>
      </c>
      <c r="B285">
        <v>1019</v>
      </c>
      <c r="C285">
        <v>2037</v>
      </c>
      <c r="D285">
        <v>5</v>
      </c>
    </row>
    <row r="286" spans="1:4" x14ac:dyDescent="0.3">
      <c r="A286">
        <v>3285</v>
      </c>
      <c r="B286">
        <v>1002</v>
      </c>
      <c r="C286">
        <v>2014</v>
      </c>
      <c r="D286">
        <v>2</v>
      </c>
    </row>
    <row r="287" spans="1:4" x14ac:dyDescent="0.3">
      <c r="A287">
        <v>3286</v>
      </c>
      <c r="B287">
        <v>1018</v>
      </c>
      <c r="C287">
        <v>2028</v>
      </c>
      <c r="D287">
        <v>9</v>
      </c>
    </row>
    <row r="288" spans="1:4" x14ac:dyDescent="0.3">
      <c r="A288">
        <v>3287</v>
      </c>
      <c r="B288">
        <v>1007</v>
      </c>
      <c r="C288">
        <v>2007</v>
      </c>
      <c r="D288">
        <v>1</v>
      </c>
    </row>
    <row r="289" spans="1:4" x14ac:dyDescent="0.3">
      <c r="A289">
        <v>3288</v>
      </c>
      <c r="B289">
        <v>1011</v>
      </c>
      <c r="C289">
        <v>2040</v>
      </c>
      <c r="D289">
        <v>3</v>
      </c>
    </row>
    <row r="290" spans="1:4" x14ac:dyDescent="0.3">
      <c r="A290">
        <v>3289</v>
      </c>
      <c r="B290">
        <v>1014</v>
      </c>
      <c r="C290">
        <v>2047</v>
      </c>
      <c r="D290">
        <v>7</v>
      </c>
    </row>
    <row r="291" spans="1:4" x14ac:dyDescent="0.3">
      <c r="A291">
        <v>3290</v>
      </c>
      <c r="B291">
        <v>1019</v>
      </c>
      <c r="C291">
        <v>2023</v>
      </c>
      <c r="D291">
        <v>1</v>
      </c>
    </row>
    <row r="292" spans="1:4" x14ac:dyDescent="0.3">
      <c r="A292">
        <v>3291</v>
      </c>
      <c r="B292">
        <v>1005</v>
      </c>
      <c r="C292">
        <v>2006</v>
      </c>
      <c r="D292">
        <v>7</v>
      </c>
    </row>
    <row r="293" spans="1:4" x14ac:dyDescent="0.3">
      <c r="A293">
        <v>3292</v>
      </c>
      <c r="B293">
        <v>1011</v>
      </c>
      <c r="C293">
        <v>2043</v>
      </c>
      <c r="D293">
        <v>10</v>
      </c>
    </row>
    <row r="294" spans="1:4" x14ac:dyDescent="0.3">
      <c r="A294">
        <v>3293</v>
      </c>
      <c r="B294">
        <v>1002</v>
      </c>
      <c r="C294">
        <v>2005</v>
      </c>
      <c r="D294">
        <v>1</v>
      </c>
    </row>
    <row r="295" spans="1:4" x14ac:dyDescent="0.3">
      <c r="A295">
        <v>3294</v>
      </c>
      <c r="B295">
        <v>1002</v>
      </c>
      <c r="C295">
        <v>2006</v>
      </c>
      <c r="D295">
        <v>9</v>
      </c>
    </row>
    <row r="296" spans="1:4" x14ac:dyDescent="0.3">
      <c r="A296">
        <v>3295</v>
      </c>
      <c r="B296">
        <v>1007</v>
      </c>
      <c r="C296">
        <v>2036</v>
      </c>
      <c r="D296">
        <v>8</v>
      </c>
    </row>
    <row r="297" spans="1:4" x14ac:dyDescent="0.3">
      <c r="A297">
        <v>3296</v>
      </c>
      <c r="B297">
        <v>1015</v>
      </c>
      <c r="C297">
        <v>2031</v>
      </c>
      <c r="D297">
        <v>7</v>
      </c>
    </row>
    <row r="298" spans="1:4" x14ac:dyDescent="0.3">
      <c r="A298">
        <v>3297</v>
      </c>
      <c r="B298">
        <v>1008</v>
      </c>
      <c r="C298">
        <v>2008</v>
      </c>
      <c r="D298">
        <v>9</v>
      </c>
    </row>
    <row r="299" spans="1:4" x14ac:dyDescent="0.3">
      <c r="A299">
        <v>3298</v>
      </c>
      <c r="B299">
        <v>1004</v>
      </c>
      <c r="C299">
        <v>2021</v>
      </c>
      <c r="D299">
        <v>2</v>
      </c>
    </row>
    <row r="300" spans="1:4" x14ac:dyDescent="0.3">
      <c r="A300">
        <v>3299</v>
      </c>
      <c r="B300">
        <v>1004</v>
      </c>
      <c r="C300">
        <v>2018</v>
      </c>
      <c r="D300">
        <v>10</v>
      </c>
    </row>
    <row r="301" spans="1:4" x14ac:dyDescent="0.3">
      <c r="A301">
        <v>3300</v>
      </c>
      <c r="B301">
        <v>1002</v>
      </c>
      <c r="C301">
        <v>2033</v>
      </c>
      <c r="D301">
        <v>9</v>
      </c>
    </row>
    <row r="302" spans="1:4" x14ac:dyDescent="0.3">
      <c r="A302">
        <v>3301</v>
      </c>
      <c r="B302">
        <v>1001</v>
      </c>
      <c r="C302">
        <v>2031</v>
      </c>
      <c r="D302">
        <v>9</v>
      </c>
    </row>
    <row r="303" spans="1:4" x14ac:dyDescent="0.3">
      <c r="A303">
        <v>3302</v>
      </c>
      <c r="B303">
        <v>1010</v>
      </c>
      <c r="C303">
        <v>2041</v>
      </c>
      <c r="D303">
        <v>1</v>
      </c>
    </row>
    <row r="304" spans="1:4" x14ac:dyDescent="0.3">
      <c r="A304">
        <v>3303</v>
      </c>
      <c r="B304">
        <v>1006</v>
      </c>
      <c r="C304">
        <v>2023</v>
      </c>
      <c r="D304">
        <v>4</v>
      </c>
    </row>
    <row r="305" spans="1:4" x14ac:dyDescent="0.3">
      <c r="A305">
        <v>3304</v>
      </c>
      <c r="B305">
        <v>1020</v>
      </c>
      <c r="C305">
        <v>2019</v>
      </c>
      <c r="D305">
        <v>3</v>
      </c>
    </row>
    <row r="306" spans="1:4" x14ac:dyDescent="0.3">
      <c r="A306">
        <v>3305</v>
      </c>
      <c r="B306">
        <v>1011</v>
      </c>
      <c r="C306">
        <v>2027</v>
      </c>
      <c r="D306">
        <v>6</v>
      </c>
    </row>
    <row r="307" spans="1:4" x14ac:dyDescent="0.3">
      <c r="A307">
        <v>3306</v>
      </c>
      <c r="B307">
        <v>1010</v>
      </c>
      <c r="C307">
        <v>2046</v>
      </c>
      <c r="D307">
        <v>6</v>
      </c>
    </row>
    <row r="308" spans="1:4" x14ac:dyDescent="0.3">
      <c r="A308">
        <v>3307</v>
      </c>
      <c r="B308">
        <v>1009</v>
      </c>
      <c r="C308">
        <v>2009</v>
      </c>
      <c r="D308">
        <v>5</v>
      </c>
    </row>
    <row r="309" spans="1:4" x14ac:dyDescent="0.3">
      <c r="A309">
        <v>3308</v>
      </c>
      <c r="B309">
        <v>1007</v>
      </c>
      <c r="C309">
        <v>2037</v>
      </c>
      <c r="D309">
        <v>6</v>
      </c>
    </row>
    <row r="310" spans="1:4" x14ac:dyDescent="0.3">
      <c r="A310">
        <v>3309</v>
      </c>
      <c r="B310">
        <v>1001</v>
      </c>
      <c r="C310">
        <v>2005</v>
      </c>
      <c r="D310">
        <v>1</v>
      </c>
    </row>
    <row r="311" spans="1:4" x14ac:dyDescent="0.3">
      <c r="A311">
        <v>3310</v>
      </c>
      <c r="B311">
        <v>1006</v>
      </c>
      <c r="C311">
        <v>2018</v>
      </c>
      <c r="D311">
        <v>7</v>
      </c>
    </row>
    <row r="312" spans="1:4" x14ac:dyDescent="0.3">
      <c r="A312">
        <v>3311</v>
      </c>
      <c r="B312">
        <v>1006</v>
      </c>
      <c r="C312">
        <v>2048</v>
      </c>
      <c r="D312">
        <v>5</v>
      </c>
    </row>
    <row r="313" spans="1:4" x14ac:dyDescent="0.3">
      <c r="A313">
        <v>3312</v>
      </c>
      <c r="B313">
        <v>1014</v>
      </c>
      <c r="C313">
        <v>2017</v>
      </c>
      <c r="D313">
        <v>6</v>
      </c>
    </row>
    <row r="314" spans="1:4" x14ac:dyDescent="0.3">
      <c r="A314">
        <v>3313</v>
      </c>
      <c r="B314">
        <v>1007</v>
      </c>
      <c r="C314">
        <v>2011</v>
      </c>
      <c r="D314">
        <v>2</v>
      </c>
    </row>
    <row r="315" spans="1:4" x14ac:dyDescent="0.3">
      <c r="A315">
        <v>3314</v>
      </c>
      <c r="B315">
        <v>1006</v>
      </c>
      <c r="C315">
        <v>2047</v>
      </c>
      <c r="D315">
        <v>3</v>
      </c>
    </row>
    <row r="316" spans="1:4" x14ac:dyDescent="0.3">
      <c r="A316">
        <v>3315</v>
      </c>
      <c r="B316">
        <v>1014</v>
      </c>
      <c r="C316">
        <v>2030</v>
      </c>
      <c r="D316">
        <v>4</v>
      </c>
    </row>
    <row r="317" spans="1:4" x14ac:dyDescent="0.3">
      <c r="A317">
        <v>3316</v>
      </c>
      <c r="B317">
        <v>1011</v>
      </c>
      <c r="C317">
        <v>2037</v>
      </c>
      <c r="D317">
        <v>6</v>
      </c>
    </row>
    <row r="318" spans="1:4" x14ac:dyDescent="0.3">
      <c r="A318">
        <v>3317</v>
      </c>
      <c r="B318">
        <v>1020</v>
      </c>
      <c r="C318">
        <v>2036</v>
      </c>
      <c r="D318">
        <v>6</v>
      </c>
    </row>
    <row r="319" spans="1:4" x14ac:dyDescent="0.3">
      <c r="A319">
        <v>3318</v>
      </c>
      <c r="B319">
        <v>1015</v>
      </c>
      <c r="C319">
        <v>2003</v>
      </c>
      <c r="D319">
        <v>5</v>
      </c>
    </row>
    <row r="320" spans="1:4" x14ac:dyDescent="0.3">
      <c r="A320">
        <v>3319</v>
      </c>
      <c r="B320">
        <v>1017</v>
      </c>
      <c r="C320">
        <v>2038</v>
      </c>
      <c r="D320">
        <v>9</v>
      </c>
    </row>
    <row r="321" spans="1:4" x14ac:dyDescent="0.3">
      <c r="A321">
        <v>3320</v>
      </c>
      <c r="B321">
        <v>1003</v>
      </c>
      <c r="C321">
        <v>2035</v>
      </c>
      <c r="D321">
        <v>4</v>
      </c>
    </row>
    <row r="322" spans="1:4" x14ac:dyDescent="0.3">
      <c r="A322">
        <v>3321</v>
      </c>
      <c r="B322">
        <v>1002</v>
      </c>
      <c r="C322">
        <v>2041</v>
      </c>
      <c r="D322">
        <v>10</v>
      </c>
    </row>
    <row r="323" spans="1:4" x14ac:dyDescent="0.3">
      <c r="A323">
        <v>3322</v>
      </c>
      <c r="B323">
        <v>1020</v>
      </c>
      <c r="C323">
        <v>2032</v>
      </c>
      <c r="D323">
        <v>10</v>
      </c>
    </row>
    <row r="324" spans="1:4" x14ac:dyDescent="0.3">
      <c r="A324">
        <v>3323</v>
      </c>
      <c r="B324">
        <v>1002</v>
      </c>
      <c r="C324">
        <v>2038</v>
      </c>
      <c r="D324">
        <v>2</v>
      </c>
    </row>
    <row r="325" spans="1:4" x14ac:dyDescent="0.3">
      <c r="A325">
        <v>3324</v>
      </c>
      <c r="B325">
        <v>1001</v>
      </c>
      <c r="C325">
        <v>2024</v>
      </c>
      <c r="D325">
        <v>1</v>
      </c>
    </row>
    <row r="326" spans="1:4" x14ac:dyDescent="0.3">
      <c r="A326">
        <v>3325</v>
      </c>
      <c r="B326">
        <v>1012</v>
      </c>
      <c r="C326">
        <v>2041</v>
      </c>
      <c r="D326">
        <v>1</v>
      </c>
    </row>
    <row r="327" spans="1:4" x14ac:dyDescent="0.3">
      <c r="A327">
        <v>3326</v>
      </c>
      <c r="B327">
        <v>1007</v>
      </c>
      <c r="C327">
        <v>2020</v>
      </c>
      <c r="D327">
        <v>2</v>
      </c>
    </row>
    <row r="328" spans="1:4" x14ac:dyDescent="0.3">
      <c r="A328">
        <v>3327</v>
      </c>
      <c r="B328">
        <v>1010</v>
      </c>
      <c r="C328">
        <v>2007</v>
      </c>
      <c r="D328">
        <v>2</v>
      </c>
    </row>
    <row r="329" spans="1:4" x14ac:dyDescent="0.3">
      <c r="A329">
        <v>3328</v>
      </c>
      <c r="B329">
        <v>1019</v>
      </c>
      <c r="C329">
        <v>2044</v>
      </c>
      <c r="D329">
        <v>3</v>
      </c>
    </row>
    <row r="330" spans="1:4" x14ac:dyDescent="0.3">
      <c r="A330">
        <v>3329</v>
      </c>
      <c r="B330">
        <v>1004</v>
      </c>
      <c r="C330">
        <v>2003</v>
      </c>
      <c r="D330">
        <v>8</v>
      </c>
    </row>
    <row r="331" spans="1:4" x14ac:dyDescent="0.3">
      <c r="A331">
        <v>3330</v>
      </c>
      <c r="B331">
        <v>1014</v>
      </c>
      <c r="C331">
        <v>2014</v>
      </c>
      <c r="D331">
        <v>4</v>
      </c>
    </row>
    <row r="332" spans="1:4" x14ac:dyDescent="0.3">
      <c r="A332">
        <v>3331</v>
      </c>
      <c r="B332">
        <v>1009</v>
      </c>
      <c r="C332">
        <v>2034</v>
      </c>
      <c r="D332">
        <v>10</v>
      </c>
    </row>
    <row r="333" spans="1:4" x14ac:dyDescent="0.3">
      <c r="A333">
        <v>3332</v>
      </c>
      <c r="B333">
        <v>1005</v>
      </c>
      <c r="C333">
        <v>2022</v>
      </c>
      <c r="D333">
        <v>3</v>
      </c>
    </row>
    <row r="334" spans="1:4" x14ac:dyDescent="0.3">
      <c r="A334">
        <v>3333</v>
      </c>
      <c r="B334">
        <v>1010</v>
      </c>
      <c r="C334">
        <v>2028</v>
      </c>
      <c r="D334">
        <v>2</v>
      </c>
    </row>
    <row r="335" spans="1:4" x14ac:dyDescent="0.3">
      <c r="A335">
        <v>3334</v>
      </c>
      <c r="B335">
        <v>1018</v>
      </c>
      <c r="C335">
        <v>2005</v>
      </c>
      <c r="D335">
        <v>3</v>
      </c>
    </row>
    <row r="336" spans="1:4" x14ac:dyDescent="0.3">
      <c r="A336">
        <v>3335</v>
      </c>
      <c r="B336">
        <v>1016</v>
      </c>
      <c r="C336">
        <v>2032</v>
      </c>
      <c r="D336">
        <v>4</v>
      </c>
    </row>
    <row r="337" spans="1:4" x14ac:dyDescent="0.3">
      <c r="A337">
        <v>3336</v>
      </c>
      <c r="B337">
        <v>1002</v>
      </c>
      <c r="C337">
        <v>2003</v>
      </c>
      <c r="D337">
        <v>3</v>
      </c>
    </row>
    <row r="338" spans="1:4" x14ac:dyDescent="0.3">
      <c r="A338">
        <v>3337</v>
      </c>
      <c r="B338">
        <v>1001</v>
      </c>
      <c r="C338">
        <v>2013</v>
      </c>
      <c r="D338">
        <v>1</v>
      </c>
    </row>
    <row r="339" spans="1:4" x14ac:dyDescent="0.3">
      <c r="A339">
        <v>3338</v>
      </c>
      <c r="B339">
        <v>1016</v>
      </c>
      <c r="C339">
        <v>2023</v>
      </c>
      <c r="D339">
        <v>10</v>
      </c>
    </row>
    <row r="340" spans="1:4" x14ac:dyDescent="0.3">
      <c r="A340">
        <v>3339</v>
      </c>
      <c r="B340">
        <v>1012</v>
      </c>
      <c r="C340">
        <v>2021</v>
      </c>
      <c r="D340">
        <v>5</v>
      </c>
    </row>
    <row r="341" spans="1:4" x14ac:dyDescent="0.3">
      <c r="A341">
        <v>3340</v>
      </c>
      <c r="B341">
        <v>1005</v>
      </c>
      <c r="C341">
        <v>2025</v>
      </c>
      <c r="D341">
        <v>2</v>
      </c>
    </row>
    <row r="342" spans="1:4" x14ac:dyDescent="0.3">
      <c r="A342">
        <v>3341</v>
      </c>
      <c r="B342">
        <v>1017</v>
      </c>
      <c r="C342">
        <v>2028</v>
      </c>
      <c r="D342">
        <v>8</v>
      </c>
    </row>
    <row r="343" spans="1:4" x14ac:dyDescent="0.3">
      <c r="A343">
        <v>3342</v>
      </c>
      <c r="B343">
        <v>1003</v>
      </c>
      <c r="C343">
        <v>2015</v>
      </c>
      <c r="D343">
        <v>2</v>
      </c>
    </row>
    <row r="344" spans="1:4" x14ac:dyDescent="0.3">
      <c r="A344">
        <v>3343</v>
      </c>
      <c r="B344">
        <v>1020</v>
      </c>
      <c r="C344">
        <v>2029</v>
      </c>
      <c r="D344">
        <v>2</v>
      </c>
    </row>
    <row r="345" spans="1:4" x14ac:dyDescent="0.3">
      <c r="A345">
        <v>3344</v>
      </c>
      <c r="B345">
        <v>1013</v>
      </c>
      <c r="C345">
        <v>2044</v>
      </c>
      <c r="D345">
        <v>5</v>
      </c>
    </row>
    <row r="346" spans="1:4" x14ac:dyDescent="0.3">
      <c r="A346">
        <v>3345</v>
      </c>
      <c r="B346">
        <v>1016</v>
      </c>
      <c r="C346">
        <v>2043</v>
      </c>
      <c r="D346">
        <v>4</v>
      </c>
    </row>
    <row r="347" spans="1:4" x14ac:dyDescent="0.3">
      <c r="A347">
        <v>3346</v>
      </c>
      <c r="B347">
        <v>1004</v>
      </c>
      <c r="C347">
        <v>2012</v>
      </c>
      <c r="D347">
        <v>4</v>
      </c>
    </row>
    <row r="348" spans="1:4" x14ac:dyDescent="0.3">
      <c r="A348">
        <v>3347</v>
      </c>
      <c r="B348">
        <v>1020</v>
      </c>
      <c r="C348">
        <v>2006</v>
      </c>
      <c r="D348">
        <v>10</v>
      </c>
    </row>
    <row r="349" spans="1:4" x14ac:dyDescent="0.3">
      <c r="A349">
        <v>3348</v>
      </c>
      <c r="B349">
        <v>1007</v>
      </c>
      <c r="C349">
        <v>2017</v>
      </c>
      <c r="D349">
        <v>10</v>
      </c>
    </row>
    <row r="350" spans="1:4" x14ac:dyDescent="0.3">
      <c r="A350">
        <v>3349</v>
      </c>
      <c r="B350">
        <v>1006</v>
      </c>
      <c r="C350">
        <v>2027</v>
      </c>
      <c r="D350">
        <v>5</v>
      </c>
    </row>
    <row r="351" spans="1:4" x14ac:dyDescent="0.3">
      <c r="A351">
        <v>3350</v>
      </c>
      <c r="B351">
        <v>1018</v>
      </c>
      <c r="C351">
        <v>2010</v>
      </c>
      <c r="D351">
        <v>4</v>
      </c>
    </row>
    <row r="352" spans="1:4" x14ac:dyDescent="0.3">
      <c r="A352">
        <v>3351</v>
      </c>
      <c r="B352">
        <v>1014</v>
      </c>
      <c r="C352">
        <v>2026</v>
      </c>
      <c r="D352">
        <v>5</v>
      </c>
    </row>
    <row r="353" spans="1:4" x14ac:dyDescent="0.3">
      <c r="A353">
        <v>3352</v>
      </c>
      <c r="B353">
        <v>1019</v>
      </c>
      <c r="C353">
        <v>2027</v>
      </c>
      <c r="D353">
        <v>4</v>
      </c>
    </row>
    <row r="354" spans="1:4" x14ac:dyDescent="0.3">
      <c r="A354">
        <v>3353</v>
      </c>
      <c r="B354">
        <v>1007</v>
      </c>
      <c r="C354">
        <v>2025</v>
      </c>
      <c r="D354">
        <v>4</v>
      </c>
    </row>
    <row r="355" spans="1:4" x14ac:dyDescent="0.3">
      <c r="A355">
        <v>3354</v>
      </c>
      <c r="B355">
        <v>1011</v>
      </c>
      <c r="C355">
        <v>2004</v>
      </c>
      <c r="D355">
        <v>1</v>
      </c>
    </row>
    <row r="356" spans="1:4" x14ac:dyDescent="0.3">
      <c r="A356">
        <v>3355</v>
      </c>
      <c r="B356">
        <v>1002</v>
      </c>
      <c r="C356">
        <v>2005</v>
      </c>
      <c r="D356">
        <v>4</v>
      </c>
    </row>
    <row r="357" spans="1:4" x14ac:dyDescent="0.3">
      <c r="A357">
        <v>3356</v>
      </c>
      <c r="B357">
        <v>1019</v>
      </c>
      <c r="C357">
        <v>2037</v>
      </c>
      <c r="D357">
        <v>9</v>
      </c>
    </row>
    <row r="358" spans="1:4" x14ac:dyDescent="0.3">
      <c r="A358">
        <v>3357</v>
      </c>
      <c r="B358">
        <v>1001</v>
      </c>
      <c r="C358">
        <v>2029</v>
      </c>
      <c r="D358">
        <v>6</v>
      </c>
    </row>
    <row r="359" spans="1:4" x14ac:dyDescent="0.3">
      <c r="A359">
        <v>3358</v>
      </c>
      <c r="B359">
        <v>1020</v>
      </c>
      <c r="C359">
        <v>2011</v>
      </c>
      <c r="D359">
        <v>6</v>
      </c>
    </row>
    <row r="360" spans="1:4" x14ac:dyDescent="0.3">
      <c r="A360">
        <v>3359</v>
      </c>
      <c r="B360">
        <v>1020</v>
      </c>
      <c r="C360">
        <v>2035</v>
      </c>
      <c r="D360">
        <v>9</v>
      </c>
    </row>
    <row r="361" spans="1:4" x14ac:dyDescent="0.3">
      <c r="A361">
        <v>3360</v>
      </c>
      <c r="B361">
        <v>1003</v>
      </c>
      <c r="C361">
        <v>2008</v>
      </c>
      <c r="D361">
        <v>9</v>
      </c>
    </row>
    <row r="362" spans="1:4" x14ac:dyDescent="0.3">
      <c r="A362">
        <v>3361</v>
      </c>
      <c r="B362">
        <v>1003</v>
      </c>
      <c r="C362">
        <v>2007</v>
      </c>
      <c r="D362">
        <v>2</v>
      </c>
    </row>
    <row r="363" spans="1:4" x14ac:dyDescent="0.3">
      <c r="A363">
        <v>3362</v>
      </c>
      <c r="B363">
        <v>1010</v>
      </c>
      <c r="C363">
        <v>2046</v>
      </c>
      <c r="D363">
        <v>6</v>
      </c>
    </row>
    <row r="364" spans="1:4" x14ac:dyDescent="0.3">
      <c r="A364">
        <v>3363</v>
      </c>
      <c r="B364">
        <v>1003</v>
      </c>
      <c r="C364">
        <v>2037</v>
      </c>
      <c r="D364">
        <v>3</v>
      </c>
    </row>
    <row r="365" spans="1:4" x14ac:dyDescent="0.3">
      <c r="A365">
        <v>3364</v>
      </c>
      <c r="B365">
        <v>1013</v>
      </c>
      <c r="C365">
        <v>2047</v>
      </c>
      <c r="D365">
        <v>6</v>
      </c>
    </row>
    <row r="366" spans="1:4" x14ac:dyDescent="0.3">
      <c r="A366">
        <v>3365</v>
      </c>
      <c r="B366">
        <v>1008</v>
      </c>
      <c r="C366">
        <v>2022</v>
      </c>
      <c r="D366">
        <v>6</v>
      </c>
    </row>
    <row r="367" spans="1:4" x14ac:dyDescent="0.3">
      <c r="A367">
        <v>3366</v>
      </c>
      <c r="B367">
        <v>1004</v>
      </c>
      <c r="C367">
        <v>2001</v>
      </c>
      <c r="D367">
        <v>4</v>
      </c>
    </row>
    <row r="368" spans="1:4" x14ac:dyDescent="0.3">
      <c r="A368">
        <v>3367</v>
      </c>
      <c r="B368">
        <v>1010</v>
      </c>
      <c r="C368">
        <v>2044</v>
      </c>
      <c r="D368">
        <v>2</v>
      </c>
    </row>
    <row r="369" spans="1:4" x14ac:dyDescent="0.3">
      <c r="A369">
        <v>3368</v>
      </c>
      <c r="B369">
        <v>1012</v>
      </c>
      <c r="C369">
        <v>2037</v>
      </c>
      <c r="D369">
        <v>5</v>
      </c>
    </row>
    <row r="370" spans="1:4" x14ac:dyDescent="0.3">
      <c r="A370">
        <v>3369</v>
      </c>
      <c r="B370">
        <v>1006</v>
      </c>
      <c r="C370">
        <v>2028</v>
      </c>
      <c r="D370">
        <v>4</v>
      </c>
    </row>
    <row r="371" spans="1:4" x14ac:dyDescent="0.3">
      <c r="A371">
        <v>3370</v>
      </c>
      <c r="B371">
        <v>1009</v>
      </c>
      <c r="C371">
        <v>2032</v>
      </c>
      <c r="D371">
        <v>2</v>
      </c>
    </row>
    <row r="372" spans="1:4" x14ac:dyDescent="0.3">
      <c r="A372">
        <v>3371</v>
      </c>
      <c r="B372">
        <v>1017</v>
      </c>
      <c r="C372">
        <v>2033</v>
      </c>
      <c r="D372">
        <v>1</v>
      </c>
    </row>
    <row r="373" spans="1:4" x14ac:dyDescent="0.3">
      <c r="A373">
        <v>3372</v>
      </c>
      <c r="B373">
        <v>1020</v>
      </c>
      <c r="C373">
        <v>2012</v>
      </c>
      <c r="D373">
        <v>10</v>
      </c>
    </row>
    <row r="374" spans="1:4" x14ac:dyDescent="0.3">
      <c r="A374">
        <v>3373</v>
      </c>
      <c r="B374">
        <v>1019</v>
      </c>
      <c r="C374">
        <v>2033</v>
      </c>
      <c r="D374">
        <v>9</v>
      </c>
    </row>
    <row r="375" spans="1:4" x14ac:dyDescent="0.3">
      <c r="A375">
        <v>3374</v>
      </c>
      <c r="B375">
        <v>1007</v>
      </c>
      <c r="C375">
        <v>2032</v>
      </c>
      <c r="D375">
        <v>7</v>
      </c>
    </row>
    <row r="376" spans="1:4" x14ac:dyDescent="0.3">
      <c r="A376">
        <v>3375</v>
      </c>
      <c r="B376">
        <v>1017</v>
      </c>
      <c r="C376">
        <v>2001</v>
      </c>
      <c r="D376">
        <v>7</v>
      </c>
    </row>
    <row r="377" spans="1:4" x14ac:dyDescent="0.3">
      <c r="A377">
        <v>3376</v>
      </c>
      <c r="B377">
        <v>1006</v>
      </c>
      <c r="C377">
        <v>2014</v>
      </c>
      <c r="D377">
        <v>1</v>
      </c>
    </row>
    <row r="378" spans="1:4" x14ac:dyDescent="0.3">
      <c r="A378">
        <v>3377</v>
      </c>
      <c r="B378">
        <v>1002</v>
      </c>
      <c r="C378">
        <v>2001</v>
      </c>
      <c r="D378">
        <v>7</v>
      </c>
    </row>
    <row r="379" spans="1:4" x14ac:dyDescent="0.3">
      <c r="A379">
        <v>3378</v>
      </c>
      <c r="B379">
        <v>1002</v>
      </c>
      <c r="C379">
        <v>2022</v>
      </c>
      <c r="D379">
        <v>5</v>
      </c>
    </row>
    <row r="380" spans="1:4" x14ac:dyDescent="0.3">
      <c r="A380">
        <v>3379</v>
      </c>
      <c r="B380">
        <v>1018</v>
      </c>
      <c r="C380">
        <v>2048</v>
      </c>
      <c r="D380">
        <v>5</v>
      </c>
    </row>
    <row r="381" spans="1:4" x14ac:dyDescent="0.3">
      <c r="A381">
        <v>3380</v>
      </c>
      <c r="B381">
        <v>1006</v>
      </c>
      <c r="C381">
        <v>2042</v>
      </c>
      <c r="D381">
        <v>1</v>
      </c>
    </row>
    <row r="382" spans="1:4" x14ac:dyDescent="0.3">
      <c r="A382">
        <v>3381</v>
      </c>
      <c r="B382">
        <v>1015</v>
      </c>
      <c r="C382">
        <v>2020</v>
      </c>
      <c r="D382">
        <v>8</v>
      </c>
    </row>
    <row r="383" spans="1:4" x14ac:dyDescent="0.3">
      <c r="A383">
        <v>3382</v>
      </c>
      <c r="B383">
        <v>1009</v>
      </c>
      <c r="C383">
        <v>2032</v>
      </c>
      <c r="D383">
        <v>3</v>
      </c>
    </row>
    <row r="384" spans="1:4" x14ac:dyDescent="0.3">
      <c r="A384">
        <v>3383</v>
      </c>
      <c r="B384">
        <v>1008</v>
      </c>
      <c r="C384">
        <v>2050</v>
      </c>
      <c r="D384">
        <v>2</v>
      </c>
    </row>
    <row r="385" spans="1:4" x14ac:dyDescent="0.3">
      <c r="A385">
        <v>3384</v>
      </c>
      <c r="B385">
        <v>1017</v>
      </c>
      <c r="C385">
        <v>2038</v>
      </c>
      <c r="D385">
        <v>7</v>
      </c>
    </row>
    <row r="386" spans="1:4" x14ac:dyDescent="0.3">
      <c r="A386">
        <v>3385</v>
      </c>
      <c r="B386">
        <v>1014</v>
      </c>
      <c r="C386">
        <v>2042</v>
      </c>
      <c r="D386">
        <v>3</v>
      </c>
    </row>
    <row r="387" spans="1:4" x14ac:dyDescent="0.3">
      <c r="A387">
        <v>3386</v>
      </c>
      <c r="B387">
        <v>1006</v>
      </c>
      <c r="C387">
        <v>2022</v>
      </c>
      <c r="D387">
        <v>10</v>
      </c>
    </row>
    <row r="388" spans="1:4" x14ac:dyDescent="0.3">
      <c r="A388">
        <v>3387</v>
      </c>
      <c r="B388">
        <v>1010</v>
      </c>
      <c r="C388">
        <v>2028</v>
      </c>
      <c r="D388">
        <v>4</v>
      </c>
    </row>
    <row r="389" spans="1:4" x14ac:dyDescent="0.3">
      <c r="A389">
        <v>3388</v>
      </c>
      <c r="B389">
        <v>1011</v>
      </c>
      <c r="C389">
        <v>2020</v>
      </c>
      <c r="D389">
        <v>9</v>
      </c>
    </row>
    <row r="390" spans="1:4" x14ac:dyDescent="0.3">
      <c r="A390">
        <v>3389</v>
      </c>
      <c r="B390">
        <v>1012</v>
      </c>
      <c r="C390">
        <v>2012</v>
      </c>
      <c r="D390">
        <v>9</v>
      </c>
    </row>
    <row r="391" spans="1:4" x14ac:dyDescent="0.3">
      <c r="A391">
        <v>3390</v>
      </c>
      <c r="B391">
        <v>1014</v>
      </c>
      <c r="C391">
        <v>2011</v>
      </c>
      <c r="D391">
        <v>6</v>
      </c>
    </row>
    <row r="392" spans="1:4" x14ac:dyDescent="0.3">
      <c r="A392">
        <v>3391</v>
      </c>
      <c r="B392">
        <v>1018</v>
      </c>
      <c r="C392">
        <v>2025</v>
      </c>
      <c r="D392">
        <v>4</v>
      </c>
    </row>
    <row r="393" spans="1:4" x14ac:dyDescent="0.3">
      <c r="A393">
        <v>3392</v>
      </c>
      <c r="B393">
        <v>1008</v>
      </c>
      <c r="C393">
        <v>2033</v>
      </c>
      <c r="D393">
        <v>4</v>
      </c>
    </row>
    <row r="394" spans="1:4" x14ac:dyDescent="0.3">
      <c r="A394">
        <v>3393</v>
      </c>
      <c r="B394">
        <v>1001</v>
      </c>
      <c r="C394">
        <v>2015</v>
      </c>
      <c r="D394">
        <v>6</v>
      </c>
    </row>
    <row r="395" spans="1:4" x14ac:dyDescent="0.3">
      <c r="A395">
        <v>3394</v>
      </c>
      <c r="B395">
        <v>1009</v>
      </c>
      <c r="C395">
        <v>2043</v>
      </c>
      <c r="D395">
        <v>1</v>
      </c>
    </row>
    <row r="396" spans="1:4" x14ac:dyDescent="0.3">
      <c r="A396">
        <v>3395</v>
      </c>
      <c r="B396">
        <v>1009</v>
      </c>
      <c r="C396">
        <v>2042</v>
      </c>
      <c r="D396">
        <v>10</v>
      </c>
    </row>
    <row r="397" spans="1:4" x14ac:dyDescent="0.3">
      <c r="A397">
        <v>3396</v>
      </c>
      <c r="B397">
        <v>1014</v>
      </c>
      <c r="C397">
        <v>2011</v>
      </c>
      <c r="D397">
        <v>4</v>
      </c>
    </row>
    <row r="398" spans="1:4" x14ac:dyDescent="0.3">
      <c r="A398">
        <v>3397</v>
      </c>
      <c r="B398">
        <v>1013</v>
      </c>
      <c r="C398">
        <v>2007</v>
      </c>
      <c r="D398">
        <v>8</v>
      </c>
    </row>
    <row r="399" spans="1:4" x14ac:dyDescent="0.3">
      <c r="A399">
        <v>3398</v>
      </c>
      <c r="B399">
        <v>1004</v>
      </c>
      <c r="C399">
        <v>2050</v>
      </c>
      <c r="D399">
        <v>7</v>
      </c>
    </row>
    <row r="400" spans="1:4" x14ac:dyDescent="0.3">
      <c r="A400">
        <v>3399</v>
      </c>
      <c r="B400">
        <v>1019</v>
      </c>
      <c r="C400">
        <v>2011</v>
      </c>
      <c r="D400">
        <v>6</v>
      </c>
    </row>
    <row r="401" spans="1:4" x14ac:dyDescent="0.3">
      <c r="A401">
        <v>3400</v>
      </c>
      <c r="B401">
        <v>1015</v>
      </c>
      <c r="C401">
        <v>2043</v>
      </c>
      <c r="D401">
        <v>9</v>
      </c>
    </row>
    <row r="402" spans="1:4" x14ac:dyDescent="0.3">
      <c r="A402">
        <v>3401</v>
      </c>
      <c r="B402">
        <v>1019</v>
      </c>
      <c r="C402">
        <v>2028</v>
      </c>
      <c r="D402">
        <v>1</v>
      </c>
    </row>
    <row r="403" spans="1:4" x14ac:dyDescent="0.3">
      <c r="A403">
        <v>3402</v>
      </c>
      <c r="B403">
        <v>1013</v>
      </c>
      <c r="C403">
        <v>2020</v>
      </c>
      <c r="D403">
        <v>4</v>
      </c>
    </row>
    <row r="404" spans="1:4" x14ac:dyDescent="0.3">
      <c r="A404">
        <v>3403</v>
      </c>
      <c r="B404">
        <v>1001</v>
      </c>
      <c r="C404">
        <v>2032</v>
      </c>
      <c r="D404">
        <v>9</v>
      </c>
    </row>
    <row r="405" spans="1:4" x14ac:dyDescent="0.3">
      <c r="A405">
        <v>3404</v>
      </c>
      <c r="B405">
        <v>1016</v>
      </c>
      <c r="C405">
        <v>2040</v>
      </c>
      <c r="D405">
        <v>1</v>
      </c>
    </row>
    <row r="406" spans="1:4" x14ac:dyDescent="0.3">
      <c r="A406">
        <v>3405</v>
      </c>
      <c r="B406">
        <v>1009</v>
      </c>
      <c r="C406">
        <v>2023</v>
      </c>
      <c r="D406">
        <v>2</v>
      </c>
    </row>
    <row r="407" spans="1:4" x14ac:dyDescent="0.3">
      <c r="A407">
        <v>3406</v>
      </c>
      <c r="B407">
        <v>1017</v>
      </c>
      <c r="C407">
        <v>2033</v>
      </c>
      <c r="D407">
        <v>10</v>
      </c>
    </row>
    <row r="408" spans="1:4" x14ac:dyDescent="0.3">
      <c r="A408">
        <v>3407</v>
      </c>
      <c r="B408">
        <v>1005</v>
      </c>
      <c r="C408">
        <v>2049</v>
      </c>
      <c r="D408">
        <v>10</v>
      </c>
    </row>
    <row r="409" spans="1:4" x14ac:dyDescent="0.3">
      <c r="A409">
        <v>3408</v>
      </c>
      <c r="B409">
        <v>1003</v>
      </c>
      <c r="C409">
        <v>2024</v>
      </c>
      <c r="D409">
        <v>6</v>
      </c>
    </row>
    <row r="410" spans="1:4" x14ac:dyDescent="0.3">
      <c r="A410">
        <v>3409</v>
      </c>
      <c r="B410">
        <v>1017</v>
      </c>
      <c r="C410">
        <v>2007</v>
      </c>
      <c r="D410">
        <v>9</v>
      </c>
    </row>
    <row r="411" spans="1:4" x14ac:dyDescent="0.3">
      <c r="A411">
        <v>3410</v>
      </c>
      <c r="B411">
        <v>1001</v>
      </c>
      <c r="C411">
        <v>2019</v>
      </c>
      <c r="D411">
        <v>2</v>
      </c>
    </row>
    <row r="412" spans="1:4" x14ac:dyDescent="0.3">
      <c r="A412">
        <v>3411</v>
      </c>
      <c r="B412">
        <v>1013</v>
      </c>
      <c r="C412">
        <v>2050</v>
      </c>
      <c r="D412">
        <v>10</v>
      </c>
    </row>
    <row r="413" spans="1:4" x14ac:dyDescent="0.3">
      <c r="A413">
        <v>3412</v>
      </c>
      <c r="B413">
        <v>1009</v>
      </c>
      <c r="C413">
        <v>2027</v>
      </c>
      <c r="D413">
        <v>8</v>
      </c>
    </row>
    <row r="414" spans="1:4" x14ac:dyDescent="0.3">
      <c r="A414">
        <v>3413</v>
      </c>
      <c r="B414">
        <v>1014</v>
      </c>
      <c r="C414">
        <v>2006</v>
      </c>
      <c r="D414">
        <v>7</v>
      </c>
    </row>
    <row r="415" spans="1:4" x14ac:dyDescent="0.3">
      <c r="A415">
        <v>3414</v>
      </c>
      <c r="B415">
        <v>1002</v>
      </c>
      <c r="C415">
        <v>2007</v>
      </c>
      <c r="D415">
        <v>5</v>
      </c>
    </row>
    <row r="416" spans="1:4" x14ac:dyDescent="0.3">
      <c r="A416">
        <v>3415</v>
      </c>
      <c r="B416">
        <v>1019</v>
      </c>
      <c r="C416">
        <v>2045</v>
      </c>
      <c r="D416">
        <v>8</v>
      </c>
    </row>
    <row r="417" spans="1:4" x14ac:dyDescent="0.3">
      <c r="A417">
        <v>3416</v>
      </c>
      <c r="B417">
        <v>1020</v>
      </c>
      <c r="C417">
        <v>2040</v>
      </c>
      <c r="D417">
        <v>5</v>
      </c>
    </row>
    <row r="418" spans="1:4" x14ac:dyDescent="0.3">
      <c r="A418">
        <v>3417</v>
      </c>
      <c r="B418">
        <v>1011</v>
      </c>
      <c r="C418">
        <v>2024</v>
      </c>
      <c r="D418">
        <v>7</v>
      </c>
    </row>
    <row r="419" spans="1:4" x14ac:dyDescent="0.3">
      <c r="A419">
        <v>3418</v>
      </c>
      <c r="B419">
        <v>1015</v>
      </c>
      <c r="C419">
        <v>2007</v>
      </c>
      <c r="D419">
        <v>9</v>
      </c>
    </row>
    <row r="420" spans="1:4" x14ac:dyDescent="0.3">
      <c r="A420">
        <v>3419</v>
      </c>
      <c r="B420">
        <v>1003</v>
      </c>
      <c r="C420">
        <v>2049</v>
      </c>
      <c r="D420">
        <v>6</v>
      </c>
    </row>
    <row r="421" spans="1:4" x14ac:dyDescent="0.3">
      <c r="A421">
        <v>3420</v>
      </c>
      <c r="B421">
        <v>1015</v>
      </c>
      <c r="C421">
        <v>2038</v>
      </c>
      <c r="D421">
        <v>6</v>
      </c>
    </row>
    <row r="422" spans="1:4" x14ac:dyDescent="0.3">
      <c r="A422">
        <v>3421</v>
      </c>
      <c r="B422">
        <v>1008</v>
      </c>
      <c r="C422">
        <v>2034</v>
      </c>
      <c r="D422">
        <v>9</v>
      </c>
    </row>
    <row r="423" spans="1:4" x14ac:dyDescent="0.3">
      <c r="A423">
        <v>3422</v>
      </c>
      <c r="B423">
        <v>1006</v>
      </c>
      <c r="C423">
        <v>2010</v>
      </c>
      <c r="D423">
        <v>7</v>
      </c>
    </row>
    <row r="424" spans="1:4" x14ac:dyDescent="0.3">
      <c r="A424">
        <v>3423</v>
      </c>
      <c r="B424">
        <v>1004</v>
      </c>
      <c r="C424">
        <v>2022</v>
      </c>
      <c r="D424">
        <v>3</v>
      </c>
    </row>
    <row r="425" spans="1:4" x14ac:dyDescent="0.3">
      <c r="A425">
        <v>3424</v>
      </c>
      <c r="B425">
        <v>1011</v>
      </c>
      <c r="C425">
        <v>2012</v>
      </c>
      <c r="D425">
        <v>5</v>
      </c>
    </row>
    <row r="426" spans="1:4" x14ac:dyDescent="0.3">
      <c r="A426">
        <v>3425</v>
      </c>
      <c r="B426">
        <v>1019</v>
      </c>
      <c r="C426">
        <v>2016</v>
      </c>
      <c r="D426">
        <v>10</v>
      </c>
    </row>
    <row r="427" spans="1:4" x14ac:dyDescent="0.3">
      <c r="A427">
        <v>3426</v>
      </c>
      <c r="B427">
        <v>1019</v>
      </c>
      <c r="C427">
        <v>2040</v>
      </c>
      <c r="D427">
        <v>3</v>
      </c>
    </row>
    <row r="428" spans="1:4" x14ac:dyDescent="0.3">
      <c r="A428">
        <v>3427</v>
      </c>
      <c r="B428">
        <v>1013</v>
      </c>
      <c r="C428">
        <v>2032</v>
      </c>
      <c r="D428">
        <v>5</v>
      </c>
    </row>
    <row r="429" spans="1:4" x14ac:dyDescent="0.3">
      <c r="A429">
        <v>3428</v>
      </c>
      <c r="B429">
        <v>1014</v>
      </c>
      <c r="C429">
        <v>2024</v>
      </c>
      <c r="D429">
        <v>10</v>
      </c>
    </row>
    <row r="430" spans="1:4" x14ac:dyDescent="0.3">
      <c r="A430">
        <v>3429</v>
      </c>
      <c r="B430">
        <v>1015</v>
      </c>
      <c r="C430">
        <v>2014</v>
      </c>
      <c r="D430">
        <v>9</v>
      </c>
    </row>
    <row r="431" spans="1:4" x14ac:dyDescent="0.3">
      <c r="A431">
        <v>3430</v>
      </c>
      <c r="B431">
        <v>1009</v>
      </c>
      <c r="C431">
        <v>2030</v>
      </c>
      <c r="D431">
        <v>6</v>
      </c>
    </row>
    <row r="432" spans="1:4" x14ac:dyDescent="0.3">
      <c r="A432">
        <v>3431</v>
      </c>
      <c r="B432">
        <v>1018</v>
      </c>
      <c r="C432">
        <v>2027</v>
      </c>
      <c r="D432">
        <v>1</v>
      </c>
    </row>
    <row r="433" spans="1:4" x14ac:dyDescent="0.3">
      <c r="A433">
        <v>3432</v>
      </c>
      <c r="B433">
        <v>1001</v>
      </c>
      <c r="C433">
        <v>2016</v>
      </c>
      <c r="D433">
        <v>8</v>
      </c>
    </row>
    <row r="434" spans="1:4" x14ac:dyDescent="0.3">
      <c r="A434">
        <v>3433</v>
      </c>
      <c r="B434">
        <v>1011</v>
      </c>
      <c r="C434">
        <v>2039</v>
      </c>
      <c r="D434">
        <v>4</v>
      </c>
    </row>
    <row r="435" spans="1:4" x14ac:dyDescent="0.3">
      <c r="A435">
        <v>3434</v>
      </c>
      <c r="B435">
        <v>1017</v>
      </c>
      <c r="C435">
        <v>2021</v>
      </c>
      <c r="D435">
        <v>3</v>
      </c>
    </row>
    <row r="436" spans="1:4" x14ac:dyDescent="0.3">
      <c r="A436">
        <v>3435</v>
      </c>
      <c r="B436">
        <v>1003</v>
      </c>
      <c r="C436">
        <v>2031</v>
      </c>
      <c r="D436">
        <v>5</v>
      </c>
    </row>
    <row r="437" spans="1:4" x14ac:dyDescent="0.3">
      <c r="A437">
        <v>3436</v>
      </c>
      <c r="B437">
        <v>1003</v>
      </c>
      <c r="C437">
        <v>2036</v>
      </c>
      <c r="D437">
        <v>9</v>
      </c>
    </row>
    <row r="438" spans="1:4" x14ac:dyDescent="0.3">
      <c r="A438">
        <v>3437</v>
      </c>
      <c r="B438">
        <v>1014</v>
      </c>
      <c r="C438">
        <v>2014</v>
      </c>
      <c r="D438">
        <v>3</v>
      </c>
    </row>
    <row r="439" spans="1:4" x14ac:dyDescent="0.3">
      <c r="A439">
        <v>3438</v>
      </c>
      <c r="B439">
        <v>1019</v>
      </c>
      <c r="C439">
        <v>2038</v>
      </c>
      <c r="D439">
        <v>4</v>
      </c>
    </row>
    <row r="440" spans="1:4" x14ac:dyDescent="0.3">
      <c r="A440">
        <v>3439</v>
      </c>
      <c r="B440">
        <v>1004</v>
      </c>
      <c r="C440">
        <v>2032</v>
      </c>
      <c r="D440">
        <v>2</v>
      </c>
    </row>
    <row r="441" spans="1:4" x14ac:dyDescent="0.3">
      <c r="A441">
        <v>3440</v>
      </c>
      <c r="B441">
        <v>1013</v>
      </c>
      <c r="C441">
        <v>2035</v>
      </c>
      <c r="D441">
        <v>5</v>
      </c>
    </row>
    <row r="442" spans="1:4" x14ac:dyDescent="0.3">
      <c r="A442">
        <v>3441</v>
      </c>
      <c r="B442">
        <v>1012</v>
      </c>
      <c r="C442">
        <v>2004</v>
      </c>
      <c r="D442">
        <v>5</v>
      </c>
    </row>
    <row r="443" spans="1:4" x14ac:dyDescent="0.3">
      <c r="A443">
        <v>3442</v>
      </c>
      <c r="B443">
        <v>1005</v>
      </c>
      <c r="C443">
        <v>2015</v>
      </c>
      <c r="D443">
        <v>7</v>
      </c>
    </row>
    <row r="444" spans="1:4" x14ac:dyDescent="0.3">
      <c r="A444">
        <v>3443</v>
      </c>
      <c r="B444">
        <v>1020</v>
      </c>
      <c r="C444">
        <v>2014</v>
      </c>
      <c r="D444">
        <v>10</v>
      </c>
    </row>
    <row r="445" spans="1:4" x14ac:dyDescent="0.3">
      <c r="A445">
        <v>3444</v>
      </c>
      <c r="B445">
        <v>1005</v>
      </c>
      <c r="C445">
        <v>2019</v>
      </c>
      <c r="D445">
        <v>4</v>
      </c>
    </row>
    <row r="446" spans="1:4" x14ac:dyDescent="0.3">
      <c r="A446">
        <v>3445</v>
      </c>
      <c r="B446">
        <v>1017</v>
      </c>
      <c r="C446">
        <v>2017</v>
      </c>
      <c r="D446">
        <v>9</v>
      </c>
    </row>
    <row r="447" spans="1:4" x14ac:dyDescent="0.3">
      <c r="A447">
        <v>3446</v>
      </c>
      <c r="B447">
        <v>1010</v>
      </c>
      <c r="C447">
        <v>2050</v>
      </c>
      <c r="D447">
        <v>9</v>
      </c>
    </row>
    <row r="448" spans="1:4" x14ac:dyDescent="0.3">
      <c r="A448">
        <v>3447</v>
      </c>
      <c r="B448">
        <v>1014</v>
      </c>
      <c r="C448">
        <v>2032</v>
      </c>
      <c r="D448">
        <v>5</v>
      </c>
    </row>
    <row r="449" spans="1:4" x14ac:dyDescent="0.3">
      <c r="A449">
        <v>3448</v>
      </c>
      <c r="B449">
        <v>1018</v>
      </c>
      <c r="C449">
        <v>2024</v>
      </c>
      <c r="D449">
        <v>1</v>
      </c>
    </row>
    <row r="450" spans="1:4" x14ac:dyDescent="0.3">
      <c r="A450">
        <v>3449</v>
      </c>
      <c r="B450">
        <v>1006</v>
      </c>
      <c r="C450">
        <v>2014</v>
      </c>
      <c r="D450">
        <v>7</v>
      </c>
    </row>
    <row r="451" spans="1:4" x14ac:dyDescent="0.3">
      <c r="A451">
        <v>3450</v>
      </c>
      <c r="B451">
        <v>1012</v>
      </c>
      <c r="C451">
        <v>2023</v>
      </c>
      <c r="D451">
        <v>5</v>
      </c>
    </row>
    <row r="452" spans="1:4" x14ac:dyDescent="0.3">
      <c r="A452">
        <v>3451</v>
      </c>
      <c r="B452">
        <v>1017</v>
      </c>
      <c r="C452">
        <v>2049</v>
      </c>
      <c r="D452">
        <v>10</v>
      </c>
    </row>
    <row r="453" spans="1:4" x14ac:dyDescent="0.3">
      <c r="A453">
        <v>3452</v>
      </c>
      <c r="B453">
        <v>1006</v>
      </c>
      <c r="C453">
        <v>2016</v>
      </c>
      <c r="D453">
        <v>1</v>
      </c>
    </row>
    <row r="454" spans="1:4" x14ac:dyDescent="0.3">
      <c r="A454">
        <v>3453</v>
      </c>
      <c r="B454">
        <v>1002</v>
      </c>
      <c r="C454">
        <v>2033</v>
      </c>
      <c r="D454">
        <v>6</v>
      </c>
    </row>
    <row r="455" spans="1:4" x14ac:dyDescent="0.3">
      <c r="A455">
        <v>3454</v>
      </c>
      <c r="B455">
        <v>1012</v>
      </c>
      <c r="C455">
        <v>2033</v>
      </c>
      <c r="D455">
        <v>1</v>
      </c>
    </row>
    <row r="456" spans="1:4" x14ac:dyDescent="0.3">
      <c r="A456">
        <v>3455</v>
      </c>
      <c r="B456">
        <v>1007</v>
      </c>
      <c r="C456">
        <v>2030</v>
      </c>
      <c r="D456">
        <v>1</v>
      </c>
    </row>
    <row r="457" spans="1:4" x14ac:dyDescent="0.3">
      <c r="A457">
        <v>3456</v>
      </c>
      <c r="B457">
        <v>1001</v>
      </c>
      <c r="C457">
        <v>2021</v>
      </c>
      <c r="D457">
        <v>4</v>
      </c>
    </row>
    <row r="458" spans="1:4" x14ac:dyDescent="0.3">
      <c r="A458">
        <v>3457</v>
      </c>
      <c r="B458">
        <v>1007</v>
      </c>
      <c r="C458">
        <v>2030</v>
      </c>
      <c r="D458">
        <v>5</v>
      </c>
    </row>
    <row r="459" spans="1:4" x14ac:dyDescent="0.3">
      <c r="A459">
        <v>3458</v>
      </c>
      <c r="B459">
        <v>1012</v>
      </c>
      <c r="C459">
        <v>2038</v>
      </c>
      <c r="D459">
        <v>10</v>
      </c>
    </row>
    <row r="460" spans="1:4" x14ac:dyDescent="0.3">
      <c r="A460">
        <v>3459</v>
      </c>
      <c r="B460">
        <v>1003</v>
      </c>
      <c r="C460">
        <v>2005</v>
      </c>
      <c r="D460">
        <v>1</v>
      </c>
    </row>
    <row r="461" spans="1:4" x14ac:dyDescent="0.3">
      <c r="A461">
        <v>3460</v>
      </c>
      <c r="B461">
        <v>1009</v>
      </c>
      <c r="C461">
        <v>2024</v>
      </c>
      <c r="D461">
        <v>8</v>
      </c>
    </row>
    <row r="462" spans="1:4" x14ac:dyDescent="0.3">
      <c r="A462">
        <v>3461</v>
      </c>
      <c r="B462">
        <v>1019</v>
      </c>
      <c r="C462">
        <v>2011</v>
      </c>
      <c r="D462">
        <v>7</v>
      </c>
    </row>
    <row r="463" spans="1:4" x14ac:dyDescent="0.3">
      <c r="A463">
        <v>3462</v>
      </c>
      <c r="B463">
        <v>1015</v>
      </c>
      <c r="C463">
        <v>2014</v>
      </c>
      <c r="D463">
        <v>6</v>
      </c>
    </row>
    <row r="464" spans="1:4" x14ac:dyDescent="0.3">
      <c r="A464">
        <v>3463</v>
      </c>
      <c r="B464">
        <v>1005</v>
      </c>
      <c r="C464">
        <v>2038</v>
      </c>
      <c r="D464">
        <v>8</v>
      </c>
    </row>
    <row r="465" spans="1:4" x14ac:dyDescent="0.3">
      <c r="A465">
        <v>3464</v>
      </c>
      <c r="B465">
        <v>1012</v>
      </c>
      <c r="C465">
        <v>2004</v>
      </c>
      <c r="D465">
        <v>4</v>
      </c>
    </row>
    <row r="466" spans="1:4" x14ac:dyDescent="0.3">
      <c r="A466">
        <v>3465</v>
      </c>
      <c r="B466">
        <v>1020</v>
      </c>
      <c r="C466">
        <v>2018</v>
      </c>
      <c r="D466">
        <v>5</v>
      </c>
    </row>
    <row r="467" spans="1:4" x14ac:dyDescent="0.3">
      <c r="A467">
        <v>3466</v>
      </c>
      <c r="B467">
        <v>1004</v>
      </c>
      <c r="C467">
        <v>2007</v>
      </c>
      <c r="D467">
        <v>4</v>
      </c>
    </row>
    <row r="468" spans="1:4" x14ac:dyDescent="0.3">
      <c r="A468">
        <v>3467</v>
      </c>
      <c r="B468">
        <v>1012</v>
      </c>
      <c r="C468">
        <v>2030</v>
      </c>
      <c r="D468">
        <v>8</v>
      </c>
    </row>
    <row r="469" spans="1:4" x14ac:dyDescent="0.3">
      <c r="A469">
        <v>3468</v>
      </c>
      <c r="B469">
        <v>1004</v>
      </c>
      <c r="C469">
        <v>2004</v>
      </c>
      <c r="D469">
        <v>4</v>
      </c>
    </row>
    <row r="470" spans="1:4" x14ac:dyDescent="0.3">
      <c r="A470">
        <v>3469</v>
      </c>
      <c r="B470">
        <v>1008</v>
      </c>
      <c r="C470">
        <v>2032</v>
      </c>
      <c r="D470">
        <v>4</v>
      </c>
    </row>
    <row r="471" spans="1:4" x14ac:dyDescent="0.3">
      <c r="A471">
        <v>3470</v>
      </c>
      <c r="B471">
        <v>1002</v>
      </c>
      <c r="C471">
        <v>2015</v>
      </c>
      <c r="D471">
        <v>9</v>
      </c>
    </row>
    <row r="472" spans="1:4" x14ac:dyDescent="0.3">
      <c r="A472">
        <v>3471</v>
      </c>
      <c r="B472">
        <v>1010</v>
      </c>
      <c r="C472">
        <v>2040</v>
      </c>
      <c r="D472">
        <v>8</v>
      </c>
    </row>
    <row r="473" spans="1:4" x14ac:dyDescent="0.3">
      <c r="A473">
        <v>3472</v>
      </c>
      <c r="B473">
        <v>1018</v>
      </c>
      <c r="C473">
        <v>2014</v>
      </c>
      <c r="D473">
        <v>3</v>
      </c>
    </row>
    <row r="474" spans="1:4" x14ac:dyDescent="0.3">
      <c r="A474">
        <v>3473</v>
      </c>
      <c r="B474">
        <v>1008</v>
      </c>
      <c r="C474">
        <v>2013</v>
      </c>
      <c r="D474">
        <v>7</v>
      </c>
    </row>
    <row r="475" spans="1:4" x14ac:dyDescent="0.3">
      <c r="A475">
        <v>3474</v>
      </c>
      <c r="B475">
        <v>1007</v>
      </c>
      <c r="C475">
        <v>2006</v>
      </c>
      <c r="D475">
        <v>9</v>
      </c>
    </row>
    <row r="476" spans="1:4" x14ac:dyDescent="0.3">
      <c r="A476">
        <v>3475</v>
      </c>
      <c r="B476">
        <v>1012</v>
      </c>
      <c r="C476">
        <v>2033</v>
      </c>
      <c r="D476">
        <v>2</v>
      </c>
    </row>
    <row r="477" spans="1:4" x14ac:dyDescent="0.3">
      <c r="A477">
        <v>3476</v>
      </c>
      <c r="B477">
        <v>1012</v>
      </c>
      <c r="C477">
        <v>2003</v>
      </c>
      <c r="D477">
        <v>7</v>
      </c>
    </row>
    <row r="478" spans="1:4" x14ac:dyDescent="0.3">
      <c r="A478">
        <v>3477</v>
      </c>
      <c r="B478">
        <v>1004</v>
      </c>
      <c r="C478">
        <v>2005</v>
      </c>
      <c r="D478">
        <v>3</v>
      </c>
    </row>
    <row r="479" spans="1:4" x14ac:dyDescent="0.3">
      <c r="A479">
        <v>3478</v>
      </c>
      <c r="B479">
        <v>1006</v>
      </c>
      <c r="C479">
        <v>2029</v>
      </c>
      <c r="D479">
        <v>10</v>
      </c>
    </row>
    <row r="480" spans="1:4" x14ac:dyDescent="0.3">
      <c r="A480">
        <v>3479</v>
      </c>
      <c r="B480">
        <v>1015</v>
      </c>
      <c r="C480">
        <v>2005</v>
      </c>
      <c r="D480">
        <v>8</v>
      </c>
    </row>
    <row r="481" spans="1:4" x14ac:dyDescent="0.3">
      <c r="A481">
        <v>3480</v>
      </c>
      <c r="B481">
        <v>1001</v>
      </c>
      <c r="C481">
        <v>2048</v>
      </c>
      <c r="D481">
        <v>5</v>
      </c>
    </row>
    <row r="482" spans="1:4" x14ac:dyDescent="0.3">
      <c r="A482">
        <v>3481</v>
      </c>
      <c r="B482">
        <v>1014</v>
      </c>
      <c r="C482">
        <v>2011</v>
      </c>
      <c r="D482">
        <v>2</v>
      </c>
    </row>
    <row r="483" spans="1:4" x14ac:dyDescent="0.3">
      <c r="A483">
        <v>3482</v>
      </c>
      <c r="B483">
        <v>1002</v>
      </c>
      <c r="C483">
        <v>2036</v>
      </c>
      <c r="D483">
        <v>3</v>
      </c>
    </row>
    <row r="484" spans="1:4" x14ac:dyDescent="0.3">
      <c r="A484">
        <v>3483</v>
      </c>
      <c r="B484">
        <v>1020</v>
      </c>
      <c r="C484">
        <v>2041</v>
      </c>
      <c r="D484">
        <v>5</v>
      </c>
    </row>
    <row r="485" spans="1:4" x14ac:dyDescent="0.3">
      <c r="A485">
        <v>3484</v>
      </c>
      <c r="B485">
        <v>1004</v>
      </c>
      <c r="C485">
        <v>2049</v>
      </c>
      <c r="D485">
        <v>10</v>
      </c>
    </row>
    <row r="486" spans="1:4" x14ac:dyDescent="0.3">
      <c r="A486">
        <v>3485</v>
      </c>
      <c r="B486">
        <v>1019</v>
      </c>
      <c r="C486">
        <v>2001</v>
      </c>
      <c r="D486">
        <v>6</v>
      </c>
    </row>
    <row r="487" spans="1:4" x14ac:dyDescent="0.3">
      <c r="A487">
        <v>3486</v>
      </c>
      <c r="B487">
        <v>1004</v>
      </c>
      <c r="C487">
        <v>2005</v>
      </c>
      <c r="D487">
        <v>9</v>
      </c>
    </row>
    <row r="488" spans="1:4" x14ac:dyDescent="0.3">
      <c r="A488">
        <v>3487</v>
      </c>
      <c r="B488">
        <v>1010</v>
      </c>
      <c r="C488">
        <v>2023</v>
      </c>
      <c r="D488">
        <v>8</v>
      </c>
    </row>
    <row r="489" spans="1:4" x14ac:dyDescent="0.3">
      <c r="A489">
        <v>3488</v>
      </c>
      <c r="B489">
        <v>1005</v>
      </c>
      <c r="C489">
        <v>2018</v>
      </c>
      <c r="D489">
        <v>5</v>
      </c>
    </row>
    <row r="490" spans="1:4" x14ac:dyDescent="0.3">
      <c r="A490">
        <v>3489</v>
      </c>
      <c r="B490">
        <v>1013</v>
      </c>
      <c r="C490">
        <v>2038</v>
      </c>
      <c r="D490">
        <v>10</v>
      </c>
    </row>
    <row r="491" spans="1:4" x14ac:dyDescent="0.3">
      <c r="A491">
        <v>3490</v>
      </c>
      <c r="B491">
        <v>1004</v>
      </c>
      <c r="C491">
        <v>2006</v>
      </c>
      <c r="D491">
        <v>3</v>
      </c>
    </row>
    <row r="492" spans="1:4" x14ac:dyDescent="0.3">
      <c r="A492">
        <v>3491</v>
      </c>
      <c r="B492">
        <v>1012</v>
      </c>
      <c r="C492">
        <v>2026</v>
      </c>
      <c r="D492">
        <v>6</v>
      </c>
    </row>
    <row r="493" spans="1:4" x14ac:dyDescent="0.3">
      <c r="A493">
        <v>3492</v>
      </c>
      <c r="B493">
        <v>1014</v>
      </c>
      <c r="C493">
        <v>2027</v>
      </c>
      <c r="D493">
        <v>6</v>
      </c>
    </row>
    <row r="494" spans="1:4" x14ac:dyDescent="0.3">
      <c r="A494">
        <v>3493</v>
      </c>
      <c r="B494">
        <v>1009</v>
      </c>
      <c r="C494">
        <v>2031</v>
      </c>
      <c r="D494">
        <v>10</v>
      </c>
    </row>
    <row r="495" spans="1:4" x14ac:dyDescent="0.3">
      <c r="A495">
        <v>3494</v>
      </c>
      <c r="B495">
        <v>1017</v>
      </c>
      <c r="C495">
        <v>2023</v>
      </c>
      <c r="D495">
        <v>6</v>
      </c>
    </row>
    <row r="496" spans="1:4" x14ac:dyDescent="0.3">
      <c r="A496">
        <v>3495</v>
      </c>
      <c r="B496">
        <v>1007</v>
      </c>
      <c r="C496">
        <v>2011</v>
      </c>
      <c r="D496">
        <v>7</v>
      </c>
    </row>
    <row r="497" spans="1:4" x14ac:dyDescent="0.3">
      <c r="A497">
        <v>3496</v>
      </c>
      <c r="B497">
        <v>1016</v>
      </c>
      <c r="C497">
        <v>2040</v>
      </c>
      <c r="D497">
        <v>8</v>
      </c>
    </row>
    <row r="498" spans="1:4" x14ac:dyDescent="0.3">
      <c r="A498">
        <v>3497</v>
      </c>
      <c r="B498">
        <v>1007</v>
      </c>
      <c r="C498">
        <v>2003</v>
      </c>
      <c r="D498">
        <v>5</v>
      </c>
    </row>
    <row r="499" spans="1:4" x14ac:dyDescent="0.3">
      <c r="A499">
        <v>3498</v>
      </c>
      <c r="B499">
        <v>1010</v>
      </c>
      <c r="C499">
        <v>2049</v>
      </c>
      <c r="D499">
        <v>4</v>
      </c>
    </row>
    <row r="500" spans="1:4" x14ac:dyDescent="0.3">
      <c r="A500">
        <v>3499</v>
      </c>
      <c r="B500">
        <v>1020</v>
      </c>
      <c r="C500">
        <v>2043</v>
      </c>
      <c r="D500">
        <v>8</v>
      </c>
    </row>
    <row r="501" spans="1:4" x14ac:dyDescent="0.3">
      <c r="A501">
        <v>3500</v>
      </c>
      <c r="B501">
        <v>1004</v>
      </c>
      <c r="C501">
        <v>2034</v>
      </c>
      <c r="D501">
        <v>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09"/>
  <sheetViews>
    <sheetView topLeftCell="A2" zoomScale="90" zoomScaleNormal="90" workbookViewId="0">
      <selection activeCell="D24" sqref="D24"/>
    </sheetView>
  </sheetViews>
  <sheetFormatPr defaultRowHeight="14.4" x14ac:dyDescent="0.3"/>
  <cols>
    <col min="1" max="1" width="13" customWidth="1"/>
    <col min="2" max="2" width="11.6640625" customWidth="1"/>
    <col min="3" max="3" width="12.88671875" customWidth="1"/>
    <col min="4" max="4" width="14.33203125" customWidth="1"/>
    <col min="5" max="5" width="10.88671875" customWidth="1"/>
    <col min="7" max="7" width="9.44140625" customWidth="1"/>
    <col min="8" max="8" width="10.5546875" customWidth="1"/>
    <col min="9" max="9" width="15.88671875" customWidth="1"/>
    <col min="10" max="10" width="11.88671875" customWidth="1"/>
    <col min="11" max="11" width="11.6640625" style="2" customWidth="1"/>
    <col min="12" max="12" width="12.33203125" style="2" customWidth="1"/>
    <col min="13" max="13" width="10.6640625" style="2" bestFit="1" customWidth="1"/>
    <col min="14" max="14" width="10.6640625" style="2" customWidth="1"/>
    <col min="15" max="15" width="10.6640625" style="2" bestFit="1" customWidth="1"/>
    <col min="16" max="16" width="15.33203125" customWidth="1"/>
    <col min="17" max="17" width="22.44140625" customWidth="1"/>
    <col min="18" max="18" width="21.44140625" customWidth="1"/>
    <col min="19" max="19" width="16.5546875" customWidth="1"/>
    <col min="20" max="20" width="13.88671875" style="12" customWidth="1"/>
  </cols>
  <sheetData>
    <row r="1" spans="1:20" x14ac:dyDescent="0.3">
      <c r="A1" s="8" t="s">
        <v>54</v>
      </c>
      <c r="B1" s="3" t="s">
        <v>41</v>
      </c>
      <c r="C1" s="3" t="s">
        <v>0</v>
      </c>
      <c r="D1" s="3" t="s">
        <v>29</v>
      </c>
      <c r="E1" s="3" t="s">
        <v>42</v>
      </c>
      <c r="F1" s="3" t="s">
        <v>30</v>
      </c>
      <c r="G1" s="3" t="s">
        <v>31</v>
      </c>
      <c r="H1" s="3" t="s">
        <v>32</v>
      </c>
      <c r="I1" s="3" t="s">
        <v>1</v>
      </c>
      <c r="J1" s="3" t="s">
        <v>2</v>
      </c>
      <c r="K1" s="4" t="s">
        <v>3</v>
      </c>
      <c r="L1" s="4" t="s">
        <v>4</v>
      </c>
      <c r="M1" s="4" t="s">
        <v>43</v>
      </c>
      <c r="N1" s="4" t="s">
        <v>44</v>
      </c>
      <c r="O1" s="4" t="s">
        <v>45</v>
      </c>
      <c r="P1" s="4" t="s">
        <v>46</v>
      </c>
      <c r="Q1" s="4" t="s">
        <v>47</v>
      </c>
      <c r="R1" s="4" t="s">
        <v>48</v>
      </c>
      <c r="S1" s="10" t="s">
        <v>49</v>
      </c>
      <c r="T1" s="13" t="s">
        <v>55</v>
      </c>
    </row>
    <row r="2" spans="1:20" x14ac:dyDescent="0.3">
      <c r="A2" s="9">
        <v>45439</v>
      </c>
      <c r="B2" s="3">
        <v>3001</v>
      </c>
      <c r="C2" s="3">
        <v>1004</v>
      </c>
      <c r="D2" s="3">
        <v>2050</v>
      </c>
      <c r="E2" s="3">
        <v>6</v>
      </c>
      <c r="F2" s="3">
        <f>VLOOKUP(Sheet1!$D2,Customers!$A$1:$D$51,2,TRUE)</f>
        <v>54</v>
      </c>
      <c r="G2" s="3" t="str">
        <f>VLOOKUP(Sheet1!$D2,Customers!$A$1:$D$51,3,TRUE)</f>
        <v>Female</v>
      </c>
      <c r="H2" s="3" t="str">
        <f>VLOOKUP(Sheet1!$D2,Customers!$A$1:$D$51,4,TRUE)</f>
        <v>Delhi</v>
      </c>
      <c r="I2" s="3" t="str">
        <f>VLOOKUP($C2,Products!$A$1:$E$21,2,TRUE)</f>
        <v>Speaker</v>
      </c>
      <c r="J2" s="3" t="str">
        <f>VLOOKUP($C2,Products!$A$1:$E$21,3,TRUE)</f>
        <v>Electronics</v>
      </c>
      <c r="K2" s="4">
        <f>VLOOKUP($C2,Products!$A$1:$E$21,4,TRUE)</f>
        <v>230</v>
      </c>
      <c r="L2" s="4">
        <f>VLOOKUP($C2,Products!$A$1:$E$21,5,TRUE)</f>
        <v>440</v>
      </c>
      <c r="M2" s="4">
        <f>$K2*$E2</f>
        <v>1380</v>
      </c>
      <c r="N2" s="4">
        <f>$L2*$E2</f>
        <v>2640</v>
      </c>
      <c r="O2" s="4">
        <f>$N2-$M2</f>
        <v>1260</v>
      </c>
      <c r="P2" s="5">
        <f>$O2/$N2</f>
        <v>0.47727272727272729</v>
      </c>
      <c r="Q2" s="3" t="str">
        <f>IF($N2&lt;$N$508,"Low_order",IF($N2&lt;$N$509,"Medium_order","High_order"))</f>
        <v>High_order</v>
      </c>
      <c r="R2" s="3" t="str">
        <f>IF($F2&lt;$F$508,"Young",IF($F2&lt;$F$509,"Middle_age","Senior"))</f>
        <v>Senior</v>
      </c>
      <c r="S2" s="11" t="str">
        <f>IF(P2&lt;$P$508,"Low_profit",IF(P2&lt;$P$509,"Medium_profit","High_profit"))</f>
        <v>High_profit</v>
      </c>
      <c r="T2" s="13" t="str">
        <f>TEXT(A2,"MMM")</f>
        <v>May</v>
      </c>
    </row>
    <row r="3" spans="1:20" x14ac:dyDescent="0.3">
      <c r="A3" s="9">
        <v>45583</v>
      </c>
      <c r="B3" s="3">
        <v>3002</v>
      </c>
      <c r="C3" s="3">
        <v>1015</v>
      </c>
      <c r="D3" s="3">
        <v>2031</v>
      </c>
      <c r="E3" s="3">
        <v>2</v>
      </c>
      <c r="F3" s="3">
        <f>VLOOKUP(Sheet1!$D3,Customers!$A$1:$D$51,2,TRUE)</f>
        <v>38</v>
      </c>
      <c r="G3" s="3" t="str">
        <f>VLOOKUP(Sheet1!$D3,Customers!$A$1:$D$51,3,TRUE)</f>
        <v>Male</v>
      </c>
      <c r="H3" s="3" t="str">
        <f>VLOOKUP(Sheet1!$D3,Customers!$A$1:$D$51,4,TRUE)</f>
        <v>Bangalore</v>
      </c>
      <c r="I3" s="3" t="str">
        <f>VLOOKUP($C3,Products!$A$1:$E$21,2,TRUE)</f>
        <v>Organizer</v>
      </c>
      <c r="J3" s="3" t="str">
        <f>VLOOKUP($C3,Products!$A$1:$E$21,3,TRUE)</f>
        <v>Office</v>
      </c>
      <c r="K3" s="4">
        <f>VLOOKUP($C3,Products!$A$1:$E$21,4,TRUE)</f>
        <v>70</v>
      </c>
      <c r="L3" s="4">
        <f>VLOOKUP($C3,Products!$A$1:$E$21,5,TRUE)</f>
        <v>210</v>
      </c>
      <c r="M3" s="4">
        <f t="shared" ref="M3:M66" si="0">$K3*$E3</f>
        <v>140</v>
      </c>
      <c r="N3" s="4">
        <f t="shared" ref="N3:N66" si="1">$L3*$E3</f>
        <v>420</v>
      </c>
      <c r="O3" s="4">
        <f t="shared" ref="O3:O66" si="2">$N3-$M3</f>
        <v>280</v>
      </c>
      <c r="P3" s="5">
        <f t="shared" ref="P3:P66" si="3">$O3/$N3</f>
        <v>0.66666666666666663</v>
      </c>
      <c r="Q3" s="3" t="str">
        <f t="shared" ref="Q3:Q66" si="4">IF($N3&lt;$N$508,"Low_order",IF($N3&lt;$N$509,"Medium_order","High_order"))</f>
        <v>Low_order</v>
      </c>
      <c r="R3" s="3" t="str">
        <f t="shared" ref="R3:R66" si="5">IF($F3&lt;$F$508,"Young",IF($F3&lt;$F$509,"Middle_age","Senior"))</f>
        <v>Middle_age</v>
      </c>
      <c r="S3" s="11" t="str">
        <f t="shared" ref="S3:S66" si="6">IF(P3&lt;$P$508,"Low_profit",IF(P3&lt;$P$509,"Medium_profit","High_profit"))</f>
        <v>High_profit</v>
      </c>
      <c r="T3" s="13" t="str">
        <f t="shared" ref="T3:T66" si="7">TEXT(A3,"MMM")</f>
        <v>Oct</v>
      </c>
    </row>
    <row r="4" spans="1:20" x14ac:dyDescent="0.3">
      <c r="A4" s="9">
        <v>45433</v>
      </c>
      <c r="B4" s="3">
        <v>3003</v>
      </c>
      <c r="C4" s="3">
        <v>1006</v>
      </c>
      <c r="D4" s="3">
        <v>2005</v>
      </c>
      <c r="E4" s="3">
        <v>3</v>
      </c>
      <c r="F4" s="3">
        <f>VLOOKUP(Sheet1!$D4,Customers!$A$1:$D$51,2,TRUE)</f>
        <v>56</v>
      </c>
      <c r="G4" s="3" t="str">
        <f>VLOOKUP(Sheet1!$D4,Customers!$A$1:$D$51,3,TRUE)</f>
        <v>Female</v>
      </c>
      <c r="H4" s="3" t="str">
        <f>VLOOKUP(Sheet1!$D4,Customers!$A$1:$D$51,4,TRUE)</f>
        <v>Hyderabad</v>
      </c>
      <c r="I4" s="3" t="str">
        <f>VLOOKUP($C4,Products!$A$1:$E$21,2,TRUE)</f>
        <v>Phone Case</v>
      </c>
      <c r="J4" s="3" t="str">
        <f>VLOOKUP($C4,Products!$A$1:$E$21,3,TRUE)</f>
        <v>Accessories</v>
      </c>
      <c r="K4" s="4">
        <f>VLOOKUP($C4,Products!$A$1:$E$21,4,TRUE)</f>
        <v>320</v>
      </c>
      <c r="L4" s="4">
        <f>VLOOKUP($C4,Products!$A$1:$E$21,5,TRUE)</f>
        <v>430</v>
      </c>
      <c r="M4" s="4">
        <f t="shared" si="0"/>
        <v>960</v>
      </c>
      <c r="N4" s="4">
        <f t="shared" si="1"/>
        <v>1290</v>
      </c>
      <c r="O4" s="4">
        <f t="shared" si="2"/>
        <v>330</v>
      </c>
      <c r="P4" s="5">
        <f t="shared" si="3"/>
        <v>0.2558139534883721</v>
      </c>
      <c r="Q4" s="3" t="str">
        <f t="shared" si="4"/>
        <v>Medium_order</v>
      </c>
      <c r="R4" s="3" t="str">
        <f t="shared" si="5"/>
        <v>Senior</v>
      </c>
      <c r="S4" s="11" t="str">
        <f t="shared" si="6"/>
        <v>Low_profit</v>
      </c>
      <c r="T4" s="13" t="str">
        <f t="shared" si="7"/>
        <v>May</v>
      </c>
    </row>
    <row r="5" spans="1:20" x14ac:dyDescent="0.3">
      <c r="A5" s="9">
        <v>45387</v>
      </c>
      <c r="B5" s="3">
        <v>3004</v>
      </c>
      <c r="C5" s="3">
        <v>1014</v>
      </c>
      <c r="D5" s="3">
        <v>2042</v>
      </c>
      <c r="E5" s="3">
        <v>1</v>
      </c>
      <c r="F5" s="3">
        <f>VLOOKUP(Sheet1!$D5,Customers!$A$1:$D$51,2,TRUE)</f>
        <v>18</v>
      </c>
      <c r="G5" s="3" t="str">
        <f>VLOOKUP(Sheet1!$D5,Customers!$A$1:$D$51,3,TRUE)</f>
        <v>Female</v>
      </c>
      <c r="H5" s="3" t="str">
        <f>VLOOKUP(Sheet1!$D5,Customers!$A$1:$D$51,4,TRUE)</f>
        <v>Bangalore</v>
      </c>
      <c r="I5" s="3" t="str">
        <f>VLOOKUP($C5,Products!$A$1:$E$21,2,TRUE)</f>
        <v>Stapler</v>
      </c>
      <c r="J5" s="3" t="str">
        <f>VLOOKUP($C5,Products!$A$1:$E$21,3,TRUE)</f>
        <v>Office</v>
      </c>
      <c r="K5" s="4">
        <f>VLOOKUP($C5,Products!$A$1:$E$21,4,TRUE)</f>
        <v>170</v>
      </c>
      <c r="L5" s="4">
        <f>VLOOKUP($C5,Products!$A$1:$E$21,5,TRUE)</f>
        <v>280</v>
      </c>
      <c r="M5" s="4">
        <f t="shared" si="0"/>
        <v>170</v>
      </c>
      <c r="N5" s="4">
        <f t="shared" si="1"/>
        <v>280</v>
      </c>
      <c r="O5" s="4">
        <f t="shared" si="2"/>
        <v>110</v>
      </c>
      <c r="P5" s="5">
        <f t="shared" si="3"/>
        <v>0.39285714285714285</v>
      </c>
      <c r="Q5" s="3" t="str">
        <f t="shared" si="4"/>
        <v>Low_order</v>
      </c>
      <c r="R5" s="3" t="str">
        <f t="shared" si="5"/>
        <v>Young</v>
      </c>
      <c r="S5" s="11" t="str">
        <f t="shared" si="6"/>
        <v>Medium_profit</v>
      </c>
      <c r="T5" s="13" t="str">
        <f t="shared" si="7"/>
        <v>Apr</v>
      </c>
    </row>
    <row r="6" spans="1:20" x14ac:dyDescent="0.3">
      <c r="A6" s="9">
        <v>45513</v>
      </c>
      <c r="B6" s="3">
        <v>3005</v>
      </c>
      <c r="C6" s="3">
        <v>1014</v>
      </c>
      <c r="D6" s="3">
        <v>2024</v>
      </c>
      <c r="E6" s="3">
        <v>1</v>
      </c>
      <c r="F6" s="3">
        <f>VLOOKUP(Sheet1!$D6,Customers!$A$1:$D$51,2,TRUE)</f>
        <v>26</v>
      </c>
      <c r="G6" s="3" t="str">
        <f>VLOOKUP(Sheet1!$D6,Customers!$A$1:$D$51,3,TRUE)</f>
        <v>Female</v>
      </c>
      <c r="H6" s="3" t="str">
        <f>VLOOKUP(Sheet1!$D6,Customers!$A$1:$D$51,4,TRUE)</f>
        <v>Delhi</v>
      </c>
      <c r="I6" s="3" t="str">
        <f>VLOOKUP($C6,Products!$A$1:$E$21,2,TRUE)</f>
        <v>Stapler</v>
      </c>
      <c r="J6" s="3" t="str">
        <f>VLOOKUP($C6,Products!$A$1:$E$21,3,TRUE)</f>
        <v>Office</v>
      </c>
      <c r="K6" s="4">
        <f>VLOOKUP($C6,Products!$A$1:$E$21,4,TRUE)</f>
        <v>170</v>
      </c>
      <c r="L6" s="4">
        <f>VLOOKUP($C6,Products!$A$1:$E$21,5,TRUE)</f>
        <v>280</v>
      </c>
      <c r="M6" s="4">
        <f t="shared" si="0"/>
        <v>170</v>
      </c>
      <c r="N6" s="4">
        <f t="shared" si="1"/>
        <v>280</v>
      </c>
      <c r="O6" s="4">
        <f t="shared" si="2"/>
        <v>110</v>
      </c>
      <c r="P6" s="5">
        <f t="shared" si="3"/>
        <v>0.39285714285714285</v>
      </c>
      <c r="Q6" s="3" t="str">
        <f t="shared" si="4"/>
        <v>Low_order</v>
      </c>
      <c r="R6" s="3" t="str">
        <f t="shared" si="5"/>
        <v>Young</v>
      </c>
      <c r="S6" s="11" t="str">
        <f t="shared" si="6"/>
        <v>Medium_profit</v>
      </c>
      <c r="T6" s="13" t="str">
        <f t="shared" si="7"/>
        <v>Aug</v>
      </c>
    </row>
    <row r="7" spans="1:20" x14ac:dyDescent="0.3">
      <c r="A7" s="9">
        <v>45375</v>
      </c>
      <c r="B7" s="3">
        <v>3006</v>
      </c>
      <c r="C7" s="3">
        <v>1004</v>
      </c>
      <c r="D7" s="3">
        <v>2001</v>
      </c>
      <c r="E7" s="3">
        <v>9</v>
      </c>
      <c r="F7" s="3">
        <f>VLOOKUP(Sheet1!$D7,Customers!$A$1:$D$51,2,TRUE)</f>
        <v>44</v>
      </c>
      <c r="G7" s="3" t="str">
        <f>VLOOKUP(Sheet1!$D7,Customers!$A$1:$D$51,3,TRUE)</f>
        <v>Male</v>
      </c>
      <c r="H7" s="3" t="str">
        <f>VLOOKUP(Sheet1!$D7,Customers!$A$1:$D$51,4,TRUE)</f>
        <v>Delhi</v>
      </c>
      <c r="I7" s="3" t="str">
        <f>VLOOKUP($C7,Products!$A$1:$E$21,2,TRUE)</f>
        <v>Speaker</v>
      </c>
      <c r="J7" s="3" t="str">
        <f>VLOOKUP($C7,Products!$A$1:$E$21,3,TRUE)</f>
        <v>Electronics</v>
      </c>
      <c r="K7" s="4">
        <f>VLOOKUP($C7,Products!$A$1:$E$21,4,TRUE)</f>
        <v>230</v>
      </c>
      <c r="L7" s="4">
        <f>VLOOKUP($C7,Products!$A$1:$E$21,5,TRUE)</f>
        <v>440</v>
      </c>
      <c r="M7" s="4">
        <f t="shared" si="0"/>
        <v>2070</v>
      </c>
      <c r="N7" s="4">
        <f t="shared" si="1"/>
        <v>3960</v>
      </c>
      <c r="O7" s="4">
        <f t="shared" si="2"/>
        <v>1890</v>
      </c>
      <c r="P7" s="5">
        <f t="shared" si="3"/>
        <v>0.47727272727272729</v>
      </c>
      <c r="Q7" s="3" t="str">
        <f t="shared" si="4"/>
        <v>High_order</v>
      </c>
      <c r="R7" s="3" t="str">
        <f t="shared" si="5"/>
        <v>Senior</v>
      </c>
      <c r="S7" s="11" t="str">
        <f t="shared" si="6"/>
        <v>High_profit</v>
      </c>
      <c r="T7" s="13" t="str">
        <f t="shared" si="7"/>
        <v>Mar</v>
      </c>
    </row>
    <row r="8" spans="1:20" x14ac:dyDescent="0.3">
      <c r="A8" s="9">
        <v>45408</v>
      </c>
      <c r="B8" s="3">
        <v>3007</v>
      </c>
      <c r="C8" s="3">
        <v>1009</v>
      </c>
      <c r="D8" s="3">
        <v>2033</v>
      </c>
      <c r="E8" s="3">
        <v>2</v>
      </c>
      <c r="F8" s="3">
        <f>VLOOKUP(Sheet1!$D8,Customers!$A$1:$D$51,2,TRUE)</f>
        <v>43</v>
      </c>
      <c r="G8" s="3" t="str">
        <f>VLOOKUP(Sheet1!$D8,Customers!$A$1:$D$51,3,TRUE)</f>
        <v>Female</v>
      </c>
      <c r="H8" s="3" t="str">
        <f>VLOOKUP(Sheet1!$D8,Customers!$A$1:$D$51,4,TRUE)</f>
        <v>Hyderabad</v>
      </c>
      <c r="I8" s="3" t="str">
        <f>VLOOKUP($C8,Products!$A$1:$E$21,2,TRUE)</f>
        <v>Power Bank</v>
      </c>
      <c r="J8" s="3" t="str">
        <f>VLOOKUP($C8,Products!$A$1:$E$21,3,TRUE)</f>
        <v>Accessories</v>
      </c>
      <c r="K8" s="4">
        <f>VLOOKUP($C8,Products!$A$1:$E$21,4,TRUE)</f>
        <v>50</v>
      </c>
      <c r="L8" s="4">
        <f>VLOOKUP($C8,Products!$A$1:$E$21,5,TRUE)</f>
        <v>220</v>
      </c>
      <c r="M8" s="4">
        <f t="shared" si="0"/>
        <v>100</v>
      </c>
      <c r="N8" s="4">
        <f t="shared" si="1"/>
        <v>440</v>
      </c>
      <c r="O8" s="4">
        <f t="shared" si="2"/>
        <v>340</v>
      </c>
      <c r="P8" s="5">
        <f t="shared" si="3"/>
        <v>0.77272727272727271</v>
      </c>
      <c r="Q8" s="3" t="str">
        <f t="shared" si="4"/>
        <v>Low_order</v>
      </c>
      <c r="R8" s="3" t="str">
        <f t="shared" si="5"/>
        <v>Senior</v>
      </c>
      <c r="S8" s="11" t="str">
        <f t="shared" si="6"/>
        <v>High_profit</v>
      </c>
      <c r="T8" s="13" t="str">
        <f t="shared" si="7"/>
        <v>Apr</v>
      </c>
    </row>
    <row r="9" spans="1:20" x14ac:dyDescent="0.3">
      <c r="A9" s="9">
        <v>45326</v>
      </c>
      <c r="B9" s="3">
        <v>3008</v>
      </c>
      <c r="C9" s="3">
        <v>1019</v>
      </c>
      <c r="D9" s="3">
        <v>2011</v>
      </c>
      <c r="E9" s="3">
        <v>5</v>
      </c>
      <c r="F9" s="3">
        <f>VLOOKUP(Sheet1!$D9,Customers!$A$1:$D$51,2,TRUE)</f>
        <v>33</v>
      </c>
      <c r="G9" s="3" t="str">
        <f>VLOOKUP(Sheet1!$D9,Customers!$A$1:$D$51,3,TRUE)</f>
        <v>Female</v>
      </c>
      <c r="H9" s="3" t="str">
        <f>VLOOKUP(Sheet1!$D9,Customers!$A$1:$D$51,4,TRUE)</f>
        <v>Chandigarh</v>
      </c>
      <c r="I9" s="3" t="str">
        <f>VLOOKUP($C9,Products!$A$1:$E$21,2,TRUE)</f>
        <v>Skipping Rope</v>
      </c>
      <c r="J9" s="3" t="str">
        <f>VLOOKUP($C9,Products!$A$1:$E$21,3,TRUE)</f>
        <v>Fitness</v>
      </c>
      <c r="K9" s="4">
        <f>VLOOKUP($C9,Products!$A$1:$E$21,4,TRUE)</f>
        <v>140</v>
      </c>
      <c r="L9" s="4">
        <f>VLOOKUP($C9,Products!$A$1:$E$21,5,TRUE)</f>
        <v>270</v>
      </c>
      <c r="M9" s="4">
        <f t="shared" si="0"/>
        <v>700</v>
      </c>
      <c r="N9" s="4">
        <f t="shared" si="1"/>
        <v>1350</v>
      </c>
      <c r="O9" s="4">
        <f t="shared" si="2"/>
        <v>650</v>
      </c>
      <c r="P9" s="5">
        <f t="shared" si="3"/>
        <v>0.48148148148148145</v>
      </c>
      <c r="Q9" s="3" t="str">
        <f t="shared" si="4"/>
        <v>Medium_order</v>
      </c>
      <c r="R9" s="3" t="str">
        <f t="shared" si="5"/>
        <v>Middle_age</v>
      </c>
      <c r="S9" s="11" t="str">
        <f t="shared" si="6"/>
        <v>High_profit</v>
      </c>
      <c r="T9" s="13" t="str">
        <f t="shared" si="7"/>
        <v>Feb</v>
      </c>
    </row>
    <row r="10" spans="1:20" x14ac:dyDescent="0.3">
      <c r="A10" s="9">
        <v>45335</v>
      </c>
      <c r="B10" s="3">
        <v>3009</v>
      </c>
      <c r="C10" s="3">
        <v>1002</v>
      </c>
      <c r="D10" s="3">
        <v>2042</v>
      </c>
      <c r="E10" s="3">
        <v>6</v>
      </c>
      <c r="F10" s="3">
        <f>VLOOKUP(Sheet1!$D10,Customers!$A$1:$D$51,2,TRUE)</f>
        <v>18</v>
      </c>
      <c r="G10" s="3" t="str">
        <f>VLOOKUP(Sheet1!$D10,Customers!$A$1:$D$51,3,TRUE)</f>
        <v>Female</v>
      </c>
      <c r="H10" s="3" t="str">
        <f>VLOOKUP(Sheet1!$D10,Customers!$A$1:$D$51,4,TRUE)</f>
        <v>Bangalore</v>
      </c>
      <c r="I10" s="3" t="str">
        <f>VLOOKUP($C10,Products!$A$1:$E$21,2,TRUE)</f>
        <v>Keyboard</v>
      </c>
      <c r="J10" s="3" t="str">
        <f>VLOOKUP($C10,Products!$A$1:$E$21,3,TRUE)</f>
        <v>Electronics</v>
      </c>
      <c r="K10" s="4">
        <f>VLOOKUP($C10,Products!$A$1:$E$21,4,TRUE)</f>
        <v>230</v>
      </c>
      <c r="L10" s="4">
        <f>VLOOKUP($C10,Products!$A$1:$E$21,5,TRUE)</f>
        <v>400</v>
      </c>
      <c r="M10" s="4">
        <f t="shared" si="0"/>
        <v>1380</v>
      </c>
      <c r="N10" s="4">
        <f t="shared" si="1"/>
        <v>2400</v>
      </c>
      <c r="O10" s="4">
        <f t="shared" si="2"/>
        <v>1020</v>
      </c>
      <c r="P10" s="5">
        <f t="shared" si="3"/>
        <v>0.42499999999999999</v>
      </c>
      <c r="Q10" s="3" t="str">
        <f t="shared" si="4"/>
        <v>Medium_order</v>
      </c>
      <c r="R10" s="3" t="str">
        <f t="shared" si="5"/>
        <v>Young</v>
      </c>
      <c r="S10" s="11" t="str">
        <f t="shared" si="6"/>
        <v>High_profit</v>
      </c>
      <c r="T10" s="13" t="str">
        <f t="shared" si="7"/>
        <v>Feb</v>
      </c>
    </row>
    <row r="11" spans="1:20" x14ac:dyDescent="0.3">
      <c r="A11" s="9">
        <v>45405</v>
      </c>
      <c r="B11" s="3">
        <v>3010</v>
      </c>
      <c r="C11" s="3">
        <v>1016</v>
      </c>
      <c r="D11" s="3">
        <v>2004</v>
      </c>
      <c r="E11" s="3">
        <v>10</v>
      </c>
      <c r="F11" s="3">
        <f>VLOOKUP(Sheet1!$D11,Customers!$A$1:$D$51,2,TRUE)</f>
        <v>25</v>
      </c>
      <c r="G11" s="3" t="str">
        <f>VLOOKUP(Sheet1!$D11,Customers!$A$1:$D$51,3,TRUE)</f>
        <v>Male</v>
      </c>
      <c r="H11" s="3" t="str">
        <f>VLOOKUP(Sheet1!$D11,Customers!$A$1:$D$51,4,TRUE)</f>
        <v>Pune</v>
      </c>
      <c r="I11" s="3" t="str">
        <f>VLOOKUP($C11,Products!$A$1:$E$21,2,TRUE)</f>
        <v>Yoga Mat</v>
      </c>
      <c r="J11" s="3" t="str">
        <f>VLOOKUP($C11,Products!$A$1:$E$21,3,TRUE)</f>
        <v>Fitness</v>
      </c>
      <c r="K11" s="4">
        <f>VLOOKUP($C11,Products!$A$1:$E$21,4,TRUE)</f>
        <v>330</v>
      </c>
      <c r="L11" s="4">
        <f>VLOOKUP($C11,Products!$A$1:$E$21,5,TRUE)</f>
        <v>490</v>
      </c>
      <c r="M11" s="4">
        <f t="shared" si="0"/>
        <v>3300</v>
      </c>
      <c r="N11" s="4">
        <f t="shared" si="1"/>
        <v>4900</v>
      </c>
      <c r="O11" s="4">
        <f t="shared" si="2"/>
        <v>1600</v>
      </c>
      <c r="P11" s="5">
        <f t="shared" si="3"/>
        <v>0.32653061224489793</v>
      </c>
      <c r="Q11" s="3" t="str">
        <f t="shared" si="4"/>
        <v>High_order</v>
      </c>
      <c r="R11" s="3" t="str">
        <f t="shared" si="5"/>
        <v>Young</v>
      </c>
      <c r="S11" s="11" t="str">
        <f t="shared" si="6"/>
        <v>Medium_profit</v>
      </c>
      <c r="T11" s="13" t="str">
        <f t="shared" si="7"/>
        <v>Apr</v>
      </c>
    </row>
    <row r="12" spans="1:20" x14ac:dyDescent="0.3">
      <c r="A12" s="9">
        <v>45522</v>
      </c>
      <c r="B12" s="3">
        <v>3011</v>
      </c>
      <c r="C12" s="3">
        <v>1018</v>
      </c>
      <c r="D12" s="3">
        <v>2007</v>
      </c>
      <c r="E12" s="3">
        <v>10</v>
      </c>
      <c r="F12" s="3">
        <f>VLOOKUP(Sheet1!$D12,Customers!$A$1:$D$51,2,TRUE)</f>
        <v>34</v>
      </c>
      <c r="G12" s="3" t="str">
        <f>VLOOKUP(Sheet1!$D12,Customers!$A$1:$D$51,3,TRUE)</f>
        <v>Male</v>
      </c>
      <c r="H12" s="3" t="str">
        <f>VLOOKUP(Sheet1!$D12,Customers!$A$1:$D$51,4,TRUE)</f>
        <v>Bangalore</v>
      </c>
      <c r="I12" s="3" t="str">
        <f>VLOOKUP($C12,Products!$A$1:$E$21,2,TRUE)</f>
        <v>Resistance Band</v>
      </c>
      <c r="J12" s="3" t="str">
        <f>VLOOKUP($C12,Products!$A$1:$E$21,3,TRUE)</f>
        <v>Fitness</v>
      </c>
      <c r="K12" s="4">
        <f>VLOOKUP($C12,Products!$A$1:$E$21,4,TRUE)</f>
        <v>310</v>
      </c>
      <c r="L12" s="4">
        <f>VLOOKUP($C12,Products!$A$1:$E$21,5,TRUE)</f>
        <v>480</v>
      </c>
      <c r="M12" s="4">
        <f t="shared" si="0"/>
        <v>3100</v>
      </c>
      <c r="N12" s="4">
        <f t="shared" si="1"/>
        <v>4800</v>
      </c>
      <c r="O12" s="4">
        <f t="shared" si="2"/>
        <v>1700</v>
      </c>
      <c r="P12" s="5">
        <f t="shared" si="3"/>
        <v>0.35416666666666669</v>
      </c>
      <c r="Q12" s="3" t="str">
        <f t="shared" si="4"/>
        <v>High_order</v>
      </c>
      <c r="R12" s="3" t="str">
        <f t="shared" si="5"/>
        <v>Middle_age</v>
      </c>
      <c r="S12" s="11" t="str">
        <f t="shared" si="6"/>
        <v>Medium_profit</v>
      </c>
      <c r="T12" s="13" t="str">
        <f t="shared" si="7"/>
        <v>Aug</v>
      </c>
    </row>
    <row r="13" spans="1:20" x14ac:dyDescent="0.3">
      <c r="A13" s="9">
        <v>45366</v>
      </c>
      <c r="B13" s="3">
        <v>3012</v>
      </c>
      <c r="C13" s="3">
        <v>1008</v>
      </c>
      <c r="D13" s="3">
        <v>2034</v>
      </c>
      <c r="E13" s="3">
        <v>6</v>
      </c>
      <c r="F13" s="3">
        <f>VLOOKUP(Sheet1!$D13,Customers!$A$1:$D$51,2,TRUE)</f>
        <v>48</v>
      </c>
      <c r="G13" s="3" t="str">
        <f>VLOOKUP(Sheet1!$D13,Customers!$A$1:$D$51,3,TRUE)</f>
        <v>Female</v>
      </c>
      <c r="H13" s="3" t="str">
        <f>VLOOKUP(Sheet1!$D13,Customers!$A$1:$D$51,4,TRUE)</f>
        <v>Pune</v>
      </c>
      <c r="I13" s="3" t="str">
        <f>VLOOKUP($C13,Products!$A$1:$E$21,2,TRUE)</f>
        <v>USB Cable</v>
      </c>
      <c r="J13" s="3" t="str">
        <f>VLOOKUP($C13,Products!$A$1:$E$21,3,TRUE)</f>
        <v>Accessories</v>
      </c>
      <c r="K13" s="4">
        <f>VLOOKUP($C13,Products!$A$1:$E$21,4,TRUE)</f>
        <v>340</v>
      </c>
      <c r="L13" s="4">
        <f>VLOOKUP($C13,Products!$A$1:$E$21,5,TRUE)</f>
        <v>430</v>
      </c>
      <c r="M13" s="4">
        <f t="shared" si="0"/>
        <v>2040</v>
      </c>
      <c r="N13" s="4">
        <f t="shared" si="1"/>
        <v>2580</v>
      </c>
      <c r="O13" s="4">
        <f t="shared" si="2"/>
        <v>540</v>
      </c>
      <c r="P13" s="5">
        <f t="shared" si="3"/>
        <v>0.20930232558139536</v>
      </c>
      <c r="Q13" s="3" t="str">
        <f t="shared" si="4"/>
        <v>High_order</v>
      </c>
      <c r="R13" s="3" t="str">
        <f t="shared" si="5"/>
        <v>Senior</v>
      </c>
      <c r="S13" s="11" t="str">
        <f t="shared" si="6"/>
        <v>Low_profit</v>
      </c>
      <c r="T13" s="13" t="str">
        <f t="shared" si="7"/>
        <v>Mar</v>
      </c>
    </row>
    <row r="14" spans="1:20" x14ac:dyDescent="0.3">
      <c r="A14" s="9">
        <v>45522</v>
      </c>
      <c r="B14" s="3">
        <v>3013</v>
      </c>
      <c r="C14" s="3">
        <v>1014</v>
      </c>
      <c r="D14" s="3">
        <v>2016</v>
      </c>
      <c r="E14" s="3">
        <v>4</v>
      </c>
      <c r="F14" s="3">
        <f>VLOOKUP(Sheet1!$D14,Customers!$A$1:$D$51,2,TRUE)</f>
        <v>29</v>
      </c>
      <c r="G14" s="3" t="str">
        <f>VLOOKUP(Sheet1!$D14,Customers!$A$1:$D$51,3,TRUE)</f>
        <v>Female</v>
      </c>
      <c r="H14" s="3" t="str">
        <f>VLOOKUP(Sheet1!$D14,Customers!$A$1:$D$51,4,TRUE)</f>
        <v>Chandigarh</v>
      </c>
      <c r="I14" s="3" t="str">
        <f>VLOOKUP($C14,Products!$A$1:$E$21,2,TRUE)</f>
        <v>Stapler</v>
      </c>
      <c r="J14" s="3" t="str">
        <f>VLOOKUP($C14,Products!$A$1:$E$21,3,TRUE)</f>
        <v>Office</v>
      </c>
      <c r="K14" s="4">
        <f>VLOOKUP($C14,Products!$A$1:$E$21,4,TRUE)</f>
        <v>170</v>
      </c>
      <c r="L14" s="4">
        <f>VLOOKUP($C14,Products!$A$1:$E$21,5,TRUE)</f>
        <v>280</v>
      </c>
      <c r="M14" s="4">
        <f t="shared" si="0"/>
        <v>680</v>
      </c>
      <c r="N14" s="4">
        <f t="shared" si="1"/>
        <v>1120</v>
      </c>
      <c r="O14" s="4">
        <f t="shared" si="2"/>
        <v>440</v>
      </c>
      <c r="P14" s="5">
        <f t="shared" si="3"/>
        <v>0.39285714285714285</v>
      </c>
      <c r="Q14" s="3" t="str">
        <f t="shared" si="4"/>
        <v>Low_order</v>
      </c>
      <c r="R14" s="3" t="str">
        <f t="shared" si="5"/>
        <v>Young</v>
      </c>
      <c r="S14" s="11" t="str">
        <f t="shared" si="6"/>
        <v>Medium_profit</v>
      </c>
      <c r="T14" s="13" t="str">
        <f t="shared" si="7"/>
        <v>Aug</v>
      </c>
    </row>
    <row r="15" spans="1:20" x14ac:dyDescent="0.3">
      <c r="A15" s="9">
        <v>45525</v>
      </c>
      <c r="B15" s="3">
        <v>3014</v>
      </c>
      <c r="C15" s="3">
        <v>1017</v>
      </c>
      <c r="D15" s="3">
        <v>2039</v>
      </c>
      <c r="E15" s="3">
        <v>3</v>
      </c>
      <c r="F15" s="3">
        <f>VLOOKUP(Sheet1!$D15,Customers!$A$1:$D$51,2,TRUE)</f>
        <v>52</v>
      </c>
      <c r="G15" s="3" t="str">
        <f>VLOOKUP(Sheet1!$D15,Customers!$A$1:$D$51,3,TRUE)</f>
        <v>Female</v>
      </c>
      <c r="H15" s="3" t="str">
        <f>VLOOKUP(Sheet1!$D15,Customers!$A$1:$D$51,4,TRUE)</f>
        <v>Delhi</v>
      </c>
      <c r="I15" s="3" t="str">
        <f>VLOOKUP($C15,Products!$A$1:$E$21,2,TRUE)</f>
        <v>Dumbbells</v>
      </c>
      <c r="J15" s="3" t="str">
        <f>VLOOKUP($C15,Products!$A$1:$E$21,3,TRUE)</f>
        <v>Fitness</v>
      </c>
      <c r="K15" s="4">
        <f>VLOOKUP($C15,Products!$A$1:$E$21,4,TRUE)</f>
        <v>120</v>
      </c>
      <c r="L15" s="4">
        <f>VLOOKUP($C15,Products!$A$1:$E$21,5,TRUE)</f>
        <v>200</v>
      </c>
      <c r="M15" s="4">
        <f t="shared" si="0"/>
        <v>360</v>
      </c>
      <c r="N15" s="4">
        <f t="shared" si="1"/>
        <v>600</v>
      </c>
      <c r="O15" s="4">
        <f t="shared" si="2"/>
        <v>240</v>
      </c>
      <c r="P15" s="5">
        <f t="shared" si="3"/>
        <v>0.4</v>
      </c>
      <c r="Q15" s="3" t="str">
        <f t="shared" si="4"/>
        <v>Low_order</v>
      </c>
      <c r="R15" s="3" t="str">
        <f t="shared" si="5"/>
        <v>Senior</v>
      </c>
      <c r="S15" s="11" t="str">
        <f t="shared" si="6"/>
        <v>Medium_profit</v>
      </c>
      <c r="T15" s="13" t="str">
        <f t="shared" si="7"/>
        <v>Aug</v>
      </c>
    </row>
    <row r="16" spans="1:20" x14ac:dyDescent="0.3">
      <c r="A16" s="9">
        <v>45324</v>
      </c>
      <c r="B16" s="3">
        <v>3015</v>
      </c>
      <c r="C16" s="3">
        <v>1007</v>
      </c>
      <c r="D16" s="3">
        <v>2003</v>
      </c>
      <c r="E16" s="3">
        <v>9</v>
      </c>
      <c r="F16" s="3">
        <f>VLOOKUP(Sheet1!$D16,Customers!$A$1:$D$51,2,TRUE)</f>
        <v>23</v>
      </c>
      <c r="G16" s="3" t="str">
        <f>VLOOKUP(Sheet1!$D16,Customers!$A$1:$D$51,3,TRUE)</f>
        <v>Female</v>
      </c>
      <c r="H16" s="3" t="str">
        <f>VLOOKUP(Sheet1!$D16,Customers!$A$1:$D$51,4,TRUE)</f>
        <v>Bangalore</v>
      </c>
      <c r="I16" s="3" t="str">
        <f>VLOOKUP($C16,Products!$A$1:$E$21,2,TRUE)</f>
        <v>Charger</v>
      </c>
      <c r="J16" s="3" t="str">
        <f>VLOOKUP($C16,Products!$A$1:$E$21,3,TRUE)</f>
        <v>Accessories</v>
      </c>
      <c r="K16" s="4">
        <f>VLOOKUP($C16,Products!$A$1:$E$21,4,TRUE)</f>
        <v>160</v>
      </c>
      <c r="L16" s="4">
        <f>VLOOKUP($C16,Products!$A$1:$E$21,5,TRUE)</f>
        <v>230</v>
      </c>
      <c r="M16" s="4">
        <f t="shared" si="0"/>
        <v>1440</v>
      </c>
      <c r="N16" s="4">
        <f t="shared" si="1"/>
        <v>2070</v>
      </c>
      <c r="O16" s="4">
        <f t="shared" si="2"/>
        <v>630</v>
      </c>
      <c r="P16" s="5">
        <f t="shared" si="3"/>
        <v>0.30434782608695654</v>
      </c>
      <c r="Q16" s="3" t="str">
        <f t="shared" si="4"/>
        <v>Medium_order</v>
      </c>
      <c r="R16" s="3" t="str">
        <f t="shared" si="5"/>
        <v>Young</v>
      </c>
      <c r="S16" s="11" t="str">
        <f t="shared" si="6"/>
        <v>Low_profit</v>
      </c>
      <c r="T16" s="13" t="str">
        <f t="shared" si="7"/>
        <v>Feb</v>
      </c>
    </row>
    <row r="17" spans="1:20" x14ac:dyDescent="0.3">
      <c r="A17" s="9">
        <v>45517</v>
      </c>
      <c r="B17" s="3">
        <v>3016</v>
      </c>
      <c r="C17" s="3">
        <v>1006</v>
      </c>
      <c r="D17" s="3">
        <v>2049</v>
      </c>
      <c r="E17" s="3">
        <v>4</v>
      </c>
      <c r="F17" s="3">
        <f>VLOOKUP(Sheet1!$D17,Customers!$A$1:$D$51,2,TRUE)</f>
        <v>44</v>
      </c>
      <c r="G17" s="3" t="str">
        <f>VLOOKUP(Sheet1!$D17,Customers!$A$1:$D$51,3,TRUE)</f>
        <v>Female</v>
      </c>
      <c r="H17" s="3" t="str">
        <f>VLOOKUP(Sheet1!$D17,Customers!$A$1:$D$51,4,TRUE)</f>
        <v>Delhi</v>
      </c>
      <c r="I17" s="3" t="str">
        <f>VLOOKUP($C17,Products!$A$1:$E$21,2,TRUE)</f>
        <v>Phone Case</v>
      </c>
      <c r="J17" s="3" t="str">
        <f>VLOOKUP($C17,Products!$A$1:$E$21,3,TRUE)</f>
        <v>Accessories</v>
      </c>
      <c r="K17" s="4">
        <f>VLOOKUP($C17,Products!$A$1:$E$21,4,TRUE)</f>
        <v>320</v>
      </c>
      <c r="L17" s="4">
        <f>VLOOKUP($C17,Products!$A$1:$E$21,5,TRUE)</f>
        <v>430</v>
      </c>
      <c r="M17" s="4">
        <f t="shared" si="0"/>
        <v>1280</v>
      </c>
      <c r="N17" s="4">
        <f t="shared" si="1"/>
        <v>1720</v>
      </c>
      <c r="O17" s="4">
        <f t="shared" si="2"/>
        <v>440</v>
      </c>
      <c r="P17" s="5">
        <f t="shared" si="3"/>
        <v>0.2558139534883721</v>
      </c>
      <c r="Q17" s="3" t="str">
        <f t="shared" si="4"/>
        <v>Medium_order</v>
      </c>
      <c r="R17" s="3" t="str">
        <f t="shared" si="5"/>
        <v>Senior</v>
      </c>
      <c r="S17" s="11" t="str">
        <f t="shared" si="6"/>
        <v>Low_profit</v>
      </c>
      <c r="T17" s="13" t="str">
        <f t="shared" si="7"/>
        <v>Aug</v>
      </c>
    </row>
    <row r="18" spans="1:20" x14ac:dyDescent="0.3">
      <c r="A18" s="9">
        <v>45314</v>
      </c>
      <c r="B18" s="3">
        <v>3017</v>
      </c>
      <c r="C18" s="3">
        <v>1020</v>
      </c>
      <c r="D18" s="3">
        <v>2017</v>
      </c>
      <c r="E18" s="3">
        <v>6</v>
      </c>
      <c r="F18" s="3">
        <f>VLOOKUP(Sheet1!$D18,Customers!$A$1:$D$51,2,TRUE)</f>
        <v>32</v>
      </c>
      <c r="G18" s="3" t="str">
        <f>VLOOKUP(Sheet1!$D18,Customers!$A$1:$D$51,3,TRUE)</f>
        <v>Male</v>
      </c>
      <c r="H18" s="3" t="str">
        <f>VLOOKUP(Sheet1!$D18,Customers!$A$1:$D$51,4,TRUE)</f>
        <v>Delhi</v>
      </c>
      <c r="I18" s="3" t="str">
        <f>VLOOKUP($C18,Products!$A$1:$E$21,2,TRUE)</f>
        <v>Water Bottle</v>
      </c>
      <c r="J18" s="3" t="str">
        <f>VLOOKUP($C18,Products!$A$1:$E$21,3,TRUE)</f>
        <v>Fitness</v>
      </c>
      <c r="K18" s="4">
        <f>VLOOKUP($C18,Products!$A$1:$E$21,4,TRUE)</f>
        <v>400</v>
      </c>
      <c r="L18" s="4">
        <f>VLOOKUP($C18,Products!$A$1:$E$21,5,TRUE)</f>
        <v>560</v>
      </c>
      <c r="M18" s="4">
        <f t="shared" si="0"/>
        <v>2400</v>
      </c>
      <c r="N18" s="4">
        <f t="shared" si="1"/>
        <v>3360</v>
      </c>
      <c r="O18" s="4">
        <f t="shared" si="2"/>
        <v>960</v>
      </c>
      <c r="P18" s="5">
        <f t="shared" si="3"/>
        <v>0.2857142857142857</v>
      </c>
      <c r="Q18" s="3" t="str">
        <f t="shared" si="4"/>
        <v>High_order</v>
      </c>
      <c r="R18" s="3" t="str">
        <f t="shared" si="5"/>
        <v>Middle_age</v>
      </c>
      <c r="S18" s="11" t="str">
        <f t="shared" si="6"/>
        <v>Low_profit</v>
      </c>
      <c r="T18" s="13" t="str">
        <f t="shared" si="7"/>
        <v>Jan</v>
      </c>
    </row>
    <row r="19" spans="1:20" x14ac:dyDescent="0.3">
      <c r="A19" s="9">
        <v>45295</v>
      </c>
      <c r="B19" s="3">
        <v>3018</v>
      </c>
      <c r="C19" s="3">
        <v>1016</v>
      </c>
      <c r="D19" s="3">
        <v>2002</v>
      </c>
      <c r="E19" s="3">
        <v>6</v>
      </c>
      <c r="F19" s="3">
        <f>VLOOKUP(Sheet1!$D19,Customers!$A$1:$D$51,2,TRUE)</f>
        <v>33</v>
      </c>
      <c r="G19" s="3" t="str">
        <f>VLOOKUP(Sheet1!$D19,Customers!$A$1:$D$51,3,TRUE)</f>
        <v>Male</v>
      </c>
      <c r="H19" s="3" t="str">
        <f>VLOOKUP(Sheet1!$D19,Customers!$A$1:$D$51,4,TRUE)</f>
        <v>Delhi</v>
      </c>
      <c r="I19" s="3" t="str">
        <f>VLOOKUP($C19,Products!$A$1:$E$21,2,TRUE)</f>
        <v>Yoga Mat</v>
      </c>
      <c r="J19" s="3" t="str">
        <f>VLOOKUP($C19,Products!$A$1:$E$21,3,TRUE)</f>
        <v>Fitness</v>
      </c>
      <c r="K19" s="4">
        <f>VLOOKUP($C19,Products!$A$1:$E$21,4,TRUE)</f>
        <v>330</v>
      </c>
      <c r="L19" s="4">
        <f>VLOOKUP($C19,Products!$A$1:$E$21,5,TRUE)</f>
        <v>490</v>
      </c>
      <c r="M19" s="4">
        <f t="shared" si="0"/>
        <v>1980</v>
      </c>
      <c r="N19" s="4">
        <f t="shared" si="1"/>
        <v>2940</v>
      </c>
      <c r="O19" s="4">
        <f t="shared" si="2"/>
        <v>960</v>
      </c>
      <c r="P19" s="5">
        <f t="shared" si="3"/>
        <v>0.32653061224489793</v>
      </c>
      <c r="Q19" s="3" t="str">
        <f t="shared" si="4"/>
        <v>High_order</v>
      </c>
      <c r="R19" s="3" t="str">
        <f t="shared" si="5"/>
        <v>Middle_age</v>
      </c>
      <c r="S19" s="11" t="str">
        <f t="shared" si="6"/>
        <v>Medium_profit</v>
      </c>
      <c r="T19" s="13" t="str">
        <f t="shared" si="7"/>
        <v>Jan</v>
      </c>
    </row>
    <row r="20" spans="1:20" x14ac:dyDescent="0.3">
      <c r="A20" s="9">
        <v>45402</v>
      </c>
      <c r="B20" s="3">
        <v>3019</v>
      </c>
      <c r="C20" s="3">
        <v>1011</v>
      </c>
      <c r="D20" s="3">
        <v>2010</v>
      </c>
      <c r="E20" s="3">
        <v>9</v>
      </c>
      <c r="F20" s="3">
        <f>VLOOKUP(Sheet1!$D20,Customers!$A$1:$D$51,2,TRUE)</f>
        <v>38</v>
      </c>
      <c r="G20" s="3" t="str">
        <f>VLOOKUP(Sheet1!$D20,Customers!$A$1:$D$51,3,TRUE)</f>
        <v>Female</v>
      </c>
      <c r="H20" s="3" t="str">
        <f>VLOOKUP(Sheet1!$D20,Customers!$A$1:$D$51,4,TRUE)</f>
        <v>Mumbai</v>
      </c>
      <c r="I20" s="3" t="str">
        <f>VLOOKUP($C20,Products!$A$1:$E$21,2,TRUE)</f>
        <v>Notebook</v>
      </c>
      <c r="J20" s="3" t="str">
        <f>VLOOKUP($C20,Products!$A$1:$E$21,3,TRUE)</f>
        <v>Office</v>
      </c>
      <c r="K20" s="4">
        <f>VLOOKUP($C20,Products!$A$1:$E$21,4,TRUE)</f>
        <v>120</v>
      </c>
      <c r="L20" s="4">
        <f>VLOOKUP($C20,Products!$A$1:$E$21,5,TRUE)</f>
        <v>180</v>
      </c>
      <c r="M20" s="4">
        <f t="shared" si="0"/>
        <v>1080</v>
      </c>
      <c r="N20" s="4">
        <f t="shared" si="1"/>
        <v>1620</v>
      </c>
      <c r="O20" s="4">
        <f t="shared" si="2"/>
        <v>540</v>
      </c>
      <c r="P20" s="5">
        <f t="shared" si="3"/>
        <v>0.33333333333333331</v>
      </c>
      <c r="Q20" s="3" t="str">
        <f t="shared" si="4"/>
        <v>Medium_order</v>
      </c>
      <c r="R20" s="3" t="str">
        <f t="shared" si="5"/>
        <v>Middle_age</v>
      </c>
      <c r="S20" s="11" t="str">
        <f t="shared" si="6"/>
        <v>Medium_profit</v>
      </c>
      <c r="T20" s="13" t="str">
        <f t="shared" si="7"/>
        <v>Apr</v>
      </c>
    </row>
    <row r="21" spans="1:20" x14ac:dyDescent="0.3">
      <c r="A21" s="9">
        <v>45308</v>
      </c>
      <c r="B21" s="3">
        <v>3020</v>
      </c>
      <c r="C21" s="3">
        <v>1009</v>
      </c>
      <c r="D21" s="3">
        <v>2014</v>
      </c>
      <c r="E21" s="3">
        <v>5</v>
      </c>
      <c r="F21" s="3">
        <f>VLOOKUP(Sheet1!$D21,Customers!$A$1:$D$51,2,TRUE)</f>
        <v>58</v>
      </c>
      <c r="G21" s="3" t="str">
        <f>VLOOKUP(Sheet1!$D21,Customers!$A$1:$D$51,3,TRUE)</f>
        <v>Female</v>
      </c>
      <c r="H21" s="3" t="str">
        <f>VLOOKUP(Sheet1!$D21,Customers!$A$1:$D$51,4,TRUE)</f>
        <v>Chandigarh</v>
      </c>
      <c r="I21" s="3" t="str">
        <f>VLOOKUP($C21,Products!$A$1:$E$21,2,TRUE)</f>
        <v>Power Bank</v>
      </c>
      <c r="J21" s="3" t="str">
        <f>VLOOKUP($C21,Products!$A$1:$E$21,3,TRUE)</f>
        <v>Accessories</v>
      </c>
      <c r="K21" s="4">
        <f>VLOOKUP($C21,Products!$A$1:$E$21,4,TRUE)</f>
        <v>50</v>
      </c>
      <c r="L21" s="4">
        <f>VLOOKUP($C21,Products!$A$1:$E$21,5,TRUE)</f>
        <v>220</v>
      </c>
      <c r="M21" s="4">
        <f t="shared" si="0"/>
        <v>250</v>
      </c>
      <c r="N21" s="4">
        <f t="shared" si="1"/>
        <v>1100</v>
      </c>
      <c r="O21" s="4">
        <f t="shared" si="2"/>
        <v>850</v>
      </c>
      <c r="P21" s="5">
        <f t="shared" si="3"/>
        <v>0.77272727272727271</v>
      </c>
      <c r="Q21" s="3" t="str">
        <f t="shared" si="4"/>
        <v>Low_order</v>
      </c>
      <c r="R21" s="3" t="str">
        <f t="shared" si="5"/>
        <v>Senior</v>
      </c>
      <c r="S21" s="11" t="str">
        <f t="shared" si="6"/>
        <v>High_profit</v>
      </c>
      <c r="T21" s="13" t="str">
        <f t="shared" si="7"/>
        <v>Jan</v>
      </c>
    </row>
    <row r="22" spans="1:20" x14ac:dyDescent="0.3">
      <c r="A22" s="9">
        <v>45584</v>
      </c>
      <c r="B22" s="3">
        <v>3021</v>
      </c>
      <c r="C22" s="3">
        <v>1007</v>
      </c>
      <c r="D22" s="3">
        <v>2029</v>
      </c>
      <c r="E22" s="3">
        <v>3</v>
      </c>
      <c r="F22" s="3">
        <f>VLOOKUP(Sheet1!$D22,Customers!$A$1:$D$51,2,TRUE)</f>
        <v>53</v>
      </c>
      <c r="G22" s="3" t="str">
        <f>VLOOKUP(Sheet1!$D22,Customers!$A$1:$D$51,3,TRUE)</f>
        <v>Male</v>
      </c>
      <c r="H22" s="3" t="str">
        <f>VLOOKUP(Sheet1!$D22,Customers!$A$1:$D$51,4,TRUE)</f>
        <v>Delhi</v>
      </c>
      <c r="I22" s="3" t="str">
        <f>VLOOKUP($C22,Products!$A$1:$E$21,2,TRUE)</f>
        <v>Charger</v>
      </c>
      <c r="J22" s="3" t="str">
        <f>VLOOKUP($C22,Products!$A$1:$E$21,3,TRUE)</f>
        <v>Accessories</v>
      </c>
      <c r="K22" s="4">
        <f>VLOOKUP($C22,Products!$A$1:$E$21,4,TRUE)</f>
        <v>160</v>
      </c>
      <c r="L22" s="4">
        <f>VLOOKUP($C22,Products!$A$1:$E$21,5,TRUE)</f>
        <v>230</v>
      </c>
      <c r="M22" s="4">
        <f t="shared" si="0"/>
        <v>480</v>
      </c>
      <c r="N22" s="4">
        <f t="shared" si="1"/>
        <v>690</v>
      </c>
      <c r="O22" s="4">
        <f t="shared" si="2"/>
        <v>210</v>
      </c>
      <c r="P22" s="5">
        <f t="shared" si="3"/>
        <v>0.30434782608695654</v>
      </c>
      <c r="Q22" s="3" t="str">
        <f t="shared" si="4"/>
        <v>Low_order</v>
      </c>
      <c r="R22" s="3" t="str">
        <f t="shared" si="5"/>
        <v>Senior</v>
      </c>
      <c r="S22" s="11" t="str">
        <f t="shared" si="6"/>
        <v>Low_profit</v>
      </c>
      <c r="T22" s="13" t="str">
        <f t="shared" si="7"/>
        <v>Oct</v>
      </c>
    </row>
    <row r="23" spans="1:20" x14ac:dyDescent="0.3">
      <c r="A23" s="9">
        <v>45644</v>
      </c>
      <c r="B23" s="3">
        <v>3022</v>
      </c>
      <c r="C23" s="3">
        <v>1011</v>
      </c>
      <c r="D23" s="3">
        <v>2002</v>
      </c>
      <c r="E23" s="3">
        <v>1</v>
      </c>
      <c r="F23" s="3">
        <f>VLOOKUP(Sheet1!$D23,Customers!$A$1:$D$51,2,TRUE)</f>
        <v>33</v>
      </c>
      <c r="G23" s="3" t="str">
        <f>VLOOKUP(Sheet1!$D23,Customers!$A$1:$D$51,3,TRUE)</f>
        <v>Male</v>
      </c>
      <c r="H23" s="3" t="str">
        <f>VLOOKUP(Sheet1!$D23,Customers!$A$1:$D$51,4,TRUE)</f>
        <v>Delhi</v>
      </c>
      <c r="I23" s="3" t="str">
        <f>VLOOKUP($C23,Products!$A$1:$E$21,2,TRUE)</f>
        <v>Notebook</v>
      </c>
      <c r="J23" s="3" t="str">
        <f>VLOOKUP($C23,Products!$A$1:$E$21,3,TRUE)</f>
        <v>Office</v>
      </c>
      <c r="K23" s="4">
        <f>VLOOKUP($C23,Products!$A$1:$E$21,4,TRUE)</f>
        <v>120</v>
      </c>
      <c r="L23" s="4">
        <f>VLOOKUP($C23,Products!$A$1:$E$21,5,TRUE)</f>
        <v>180</v>
      </c>
      <c r="M23" s="4">
        <f t="shared" si="0"/>
        <v>120</v>
      </c>
      <c r="N23" s="4">
        <f t="shared" si="1"/>
        <v>180</v>
      </c>
      <c r="O23" s="4">
        <f t="shared" si="2"/>
        <v>60</v>
      </c>
      <c r="P23" s="5">
        <f t="shared" si="3"/>
        <v>0.33333333333333331</v>
      </c>
      <c r="Q23" s="3" t="str">
        <f t="shared" si="4"/>
        <v>Low_order</v>
      </c>
      <c r="R23" s="3" t="str">
        <f t="shared" si="5"/>
        <v>Middle_age</v>
      </c>
      <c r="S23" s="11" t="str">
        <f t="shared" si="6"/>
        <v>Medium_profit</v>
      </c>
      <c r="T23" s="13" t="str">
        <f t="shared" si="7"/>
        <v>Dec</v>
      </c>
    </row>
    <row r="24" spans="1:20" x14ac:dyDescent="0.3">
      <c r="A24" s="9">
        <v>45653</v>
      </c>
      <c r="B24" s="3">
        <v>3023</v>
      </c>
      <c r="C24" s="3">
        <v>1014</v>
      </c>
      <c r="D24" s="3">
        <v>2012</v>
      </c>
      <c r="E24" s="3">
        <v>2</v>
      </c>
      <c r="F24" s="3">
        <f>VLOOKUP(Sheet1!$D24,Customers!$A$1:$D$51,2,TRUE)</f>
        <v>21</v>
      </c>
      <c r="G24" s="3" t="str">
        <f>VLOOKUP(Sheet1!$D24,Customers!$A$1:$D$51,3,TRUE)</f>
        <v>Female</v>
      </c>
      <c r="H24" s="3" t="str">
        <f>VLOOKUP(Sheet1!$D24,Customers!$A$1:$D$51,4,TRUE)</f>
        <v>Hyderabad</v>
      </c>
      <c r="I24" s="3" t="str">
        <f>VLOOKUP($C24,Products!$A$1:$E$21,2,TRUE)</f>
        <v>Stapler</v>
      </c>
      <c r="J24" s="3" t="str">
        <f>VLOOKUP($C24,Products!$A$1:$E$21,3,TRUE)</f>
        <v>Office</v>
      </c>
      <c r="K24" s="4">
        <f>VLOOKUP($C24,Products!$A$1:$E$21,4,TRUE)</f>
        <v>170</v>
      </c>
      <c r="L24" s="4">
        <f>VLOOKUP($C24,Products!$A$1:$E$21,5,TRUE)</f>
        <v>280</v>
      </c>
      <c r="M24" s="4">
        <f t="shared" si="0"/>
        <v>340</v>
      </c>
      <c r="N24" s="4">
        <f t="shared" si="1"/>
        <v>560</v>
      </c>
      <c r="O24" s="4">
        <f t="shared" si="2"/>
        <v>220</v>
      </c>
      <c r="P24" s="5">
        <f t="shared" si="3"/>
        <v>0.39285714285714285</v>
      </c>
      <c r="Q24" s="3" t="str">
        <f t="shared" si="4"/>
        <v>Low_order</v>
      </c>
      <c r="R24" s="3" t="str">
        <f t="shared" si="5"/>
        <v>Young</v>
      </c>
      <c r="S24" s="11" t="str">
        <f t="shared" si="6"/>
        <v>Medium_profit</v>
      </c>
      <c r="T24" s="13" t="str">
        <f t="shared" si="7"/>
        <v>Dec</v>
      </c>
    </row>
    <row r="25" spans="1:20" x14ac:dyDescent="0.3">
      <c r="A25" s="9">
        <v>45399</v>
      </c>
      <c r="B25" s="3">
        <v>3024</v>
      </c>
      <c r="C25" s="3">
        <v>1003</v>
      </c>
      <c r="D25" s="3">
        <v>2026</v>
      </c>
      <c r="E25" s="3">
        <v>9</v>
      </c>
      <c r="F25" s="3">
        <f>VLOOKUP(Sheet1!$D25,Customers!$A$1:$D$51,2,TRUE)</f>
        <v>27</v>
      </c>
      <c r="G25" s="3" t="str">
        <f>VLOOKUP(Sheet1!$D25,Customers!$A$1:$D$51,3,TRUE)</f>
        <v>Female</v>
      </c>
      <c r="H25" s="3" t="str">
        <f>VLOOKUP(Sheet1!$D25,Customers!$A$1:$D$51,4,TRUE)</f>
        <v>Mumbai</v>
      </c>
      <c r="I25" s="3" t="str">
        <f>VLOOKUP($C25,Products!$A$1:$E$21,2,TRUE)</f>
        <v>Mouse</v>
      </c>
      <c r="J25" s="3" t="str">
        <f>VLOOKUP($C25,Products!$A$1:$E$21,3,TRUE)</f>
        <v>Electronics</v>
      </c>
      <c r="K25" s="4">
        <f>VLOOKUP($C25,Products!$A$1:$E$21,4,TRUE)</f>
        <v>140</v>
      </c>
      <c r="L25" s="4">
        <f>VLOOKUP($C25,Products!$A$1:$E$21,5,TRUE)</f>
        <v>350</v>
      </c>
      <c r="M25" s="4">
        <f t="shared" si="0"/>
        <v>1260</v>
      </c>
      <c r="N25" s="4">
        <f t="shared" si="1"/>
        <v>3150</v>
      </c>
      <c r="O25" s="4">
        <f t="shared" si="2"/>
        <v>1890</v>
      </c>
      <c r="P25" s="5">
        <f t="shared" si="3"/>
        <v>0.6</v>
      </c>
      <c r="Q25" s="3" t="str">
        <f t="shared" si="4"/>
        <v>High_order</v>
      </c>
      <c r="R25" s="3" t="str">
        <f t="shared" si="5"/>
        <v>Young</v>
      </c>
      <c r="S25" s="11" t="str">
        <f t="shared" si="6"/>
        <v>High_profit</v>
      </c>
      <c r="T25" s="13" t="str">
        <f t="shared" si="7"/>
        <v>Apr</v>
      </c>
    </row>
    <row r="26" spans="1:20" x14ac:dyDescent="0.3">
      <c r="A26" s="9">
        <v>45327</v>
      </c>
      <c r="B26" s="3">
        <v>3025</v>
      </c>
      <c r="C26" s="3">
        <v>1017</v>
      </c>
      <c r="D26" s="3">
        <v>2012</v>
      </c>
      <c r="E26" s="3">
        <v>7</v>
      </c>
      <c r="F26" s="3">
        <f>VLOOKUP(Sheet1!$D26,Customers!$A$1:$D$51,2,TRUE)</f>
        <v>21</v>
      </c>
      <c r="G26" s="3" t="str">
        <f>VLOOKUP(Sheet1!$D26,Customers!$A$1:$D$51,3,TRUE)</f>
        <v>Female</v>
      </c>
      <c r="H26" s="3" t="str">
        <f>VLOOKUP(Sheet1!$D26,Customers!$A$1:$D$51,4,TRUE)</f>
        <v>Hyderabad</v>
      </c>
      <c r="I26" s="3" t="str">
        <f>VLOOKUP($C26,Products!$A$1:$E$21,2,TRUE)</f>
        <v>Dumbbells</v>
      </c>
      <c r="J26" s="3" t="str">
        <f>VLOOKUP($C26,Products!$A$1:$E$21,3,TRUE)</f>
        <v>Fitness</v>
      </c>
      <c r="K26" s="4">
        <f>VLOOKUP($C26,Products!$A$1:$E$21,4,TRUE)</f>
        <v>120</v>
      </c>
      <c r="L26" s="4">
        <f>VLOOKUP($C26,Products!$A$1:$E$21,5,TRUE)</f>
        <v>200</v>
      </c>
      <c r="M26" s="4">
        <f t="shared" si="0"/>
        <v>840</v>
      </c>
      <c r="N26" s="4">
        <f t="shared" si="1"/>
        <v>1400</v>
      </c>
      <c r="O26" s="4">
        <f t="shared" si="2"/>
        <v>560</v>
      </c>
      <c r="P26" s="5">
        <f t="shared" si="3"/>
        <v>0.4</v>
      </c>
      <c r="Q26" s="3" t="str">
        <f t="shared" si="4"/>
        <v>Medium_order</v>
      </c>
      <c r="R26" s="3" t="str">
        <f t="shared" si="5"/>
        <v>Young</v>
      </c>
      <c r="S26" s="11" t="str">
        <f t="shared" si="6"/>
        <v>Medium_profit</v>
      </c>
      <c r="T26" s="13" t="str">
        <f t="shared" si="7"/>
        <v>Feb</v>
      </c>
    </row>
    <row r="27" spans="1:20" x14ac:dyDescent="0.3">
      <c r="A27" s="9">
        <v>45632</v>
      </c>
      <c r="B27" s="3">
        <v>3026</v>
      </c>
      <c r="C27" s="3">
        <v>1019</v>
      </c>
      <c r="D27" s="3">
        <v>2009</v>
      </c>
      <c r="E27" s="3">
        <v>4</v>
      </c>
      <c r="F27" s="3">
        <f>VLOOKUP(Sheet1!$D27,Customers!$A$1:$D$51,2,TRUE)</f>
        <v>57</v>
      </c>
      <c r="G27" s="3" t="str">
        <f>VLOOKUP(Sheet1!$D27,Customers!$A$1:$D$51,3,TRUE)</f>
        <v>Female</v>
      </c>
      <c r="H27" s="3" t="str">
        <f>VLOOKUP(Sheet1!$D27,Customers!$A$1:$D$51,4,TRUE)</f>
        <v>Pune</v>
      </c>
      <c r="I27" s="3" t="str">
        <f>VLOOKUP($C27,Products!$A$1:$E$21,2,TRUE)</f>
        <v>Skipping Rope</v>
      </c>
      <c r="J27" s="3" t="str">
        <f>VLOOKUP($C27,Products!$A$1:$E$21,3,TRUE)</f>
        <v>Fitness</v>
      </c>
      <c r="K27" s="4">
        <f>VLOOKUP($C27,Products!$A$1:$E$21,4,TRUE)</f>
        <v>140</v>
      </c>
      <c r="L27" s="4">
        <f>VLOOKUP($C27,Products!$A$1:$E$21,5,TRUE)</f>
        <v>270</v>
      </c>
      <c r="M27" s="4">
        <f t="shared" si="0"/>
        <v>560</v>
      </c>
      <c r="N27" s="4">
        <f t="shared" si="1"/>
        <v>1080</v>
      </c>
      <c r="O27" s="4">
        <f t="shared" si="2"/>
        <v>520</v>
      </c>
      <c r="P27" s="5">
        <f t="shared" si="3"/>
        <v>0.48148148148148145</v>
      </c>
      <c r="Q27" s="3" t="str">
        <f t="shared" si="4"/>
        <v>Low_order</v>
      </c>
      <c r="R27" s="3" t="str">
        <f t="shared" si="5"/>
        <v>Senior</v>
      </c>
      <c r="S27" s="11" t="str">
        <f t="shared" si="6"/>
        <v>High_profit</v>
      </c>
      <c r="T27" s="13" t="str">
        <f t="shared" si="7"/>
        <v>Dec</v>
      </c>
    </row>
    <row r="28" spans="1:20" x14ac:dyDescent="0.3">
      <c r="A28" s="9">
        <v>45495</v>
      </c>
      <c r="B28" s="3">
        <v>3027</v>
      </c>
      <c r="C28" s="3">
        <v>1020</v>
      </c>
      <c r="D28" s="3">
        <v>2004</v>
      </c>
      <c r="E28" s="3">
        <v>4</v>
      </c>
      <c r="F28" s="3">
        <f>VLOOKUP(Sheet1!$D28,Customers!$A$1:$D$51,2,TRUE)</f>
        <v>25</v>
      </c>
      <c r="G28" s="3" t="str">
        <f>VLOOKUP(Sheet1!$D28,Customers!$A$1:$D$51,3,TRUE)</f>
        <v>Male</v>
      </c>
      <c r="H28" s="3" t="str">
        <f>VLOOKUP(Sheet1!$D28,Customers!$A$1:$D$51,4,TRUE)</f>
        <v>Pune</v>
      </c>
      <c r="I28" s="3" t="str">
        <f>VLOOKUP($C28,Products!$A$1:$E$21,2,TRUE)</f>
        <v>Water Bottle</v>
      </c>
      <c r="J28" s="3" t="str">
        <f>VLOOKUP($C28,Products!$A$1:$E$21,3,TRUE)</f>
        <v>Fitness</v>
      </c>
      <c r="K28" s="4">
        <f>VLOOKUP($C28,Products!$A$1:$E$21,4,TRUE)</f>
        <v>400</v>
      </c>
      <c r="L28" s="4">
        <f>VLOOKUP($C28,Products!$A$1:$E$21,5,TRUE)</f>
        <v>560</v>
      </c>
      <c r="M28" s="4">
        <f t="shared" si="0"/>
        <v>1600</v>
      </c>
      <c r="N28" s="4">
        <f t="shared" si="1"/>
        <v>2240</v>
      </c>
      <c r="O28" s="4">
        <f t="shared" si="2"/>
        <v>640</v>
      </c>
      <c r="P28" s="5">
        <f t="shared" si="3"/>
        <v>0.2857142857142857</v>
      </c>
      <c r="Q28" s="3" t="str">
        <f t="shared" si="4"/>
        <v>Medium_order</v>
      </c>
      <c r="R28" s="3" t="str">
        <f t="shared" si="5"/>
        <v>Young</v>
      </c>
      <c r="S28" s="11" t="str">
        <f t="shared" si="6"/>
        <v>Low_profit</v>
      </c>
      <c r="T28" s="13" t="str">
        <f t="shared" si="7"/>
        <v>Jul</v>
      </c>
    </row>
    <row r="29" spans="1:20" x14ac:dyDescent="0.3">
      <c r="A29" s="9">
        <v>45530</v>
      </c>
      <c r="B29" s="3">
        <v>3028</v>
      </c>
      <c r="C29" s="3">
        <v>1013</v>
      </c>
      <c r="D29" s="3">
        <v>2017</v>
      </c>
      <c r="E29" s="3">
        <v>4</v>
      </c>
      <c r="F29" s="3">
        <f>VLOOKUP(Sheet1!$D29,Customers!$A$1:$D$51,2,TRUE)</f>
        <v>32</v>
      </c>
      <c r="G29" s="3" t="str">
        <f>VLOOKUP(Sheet1!$D29,Customers!$A$1:$D$51,3,TRUE)</f>
        <v>Male</v>
      </c>
      <c r="H29" s="3" t="str">
        <f>VLOOKUP(Sheet1!$D29,Customers!$A$1:$D$51,4,TRUE)</f>
        <v>Delhi</v>
      </c>
      <c r="I29" s="3" t="str">
        <f>VLOOKUP($C29,Products!$A$1:$E$21,2,TRUE)</f>
        <v>Desk Lamp</v>
      </c>
      <c r="J29" s="3" t="str">
        <f>VLOOKUP($C29,Products!$A$1:$E$21,3,TRUE)</f>
        <v>Office</v>
      </c>
      <c r="K29" s="4">
        <f>VLOOKUP($C29,Products!$A$1:$E$21,4,TRUE)</f>
        <v>140</v>
      </c>
      <c r="L29" s="4">
        <f>VLOOKUP($C29,Products!$A$1:$E$21,5,TRUE)</f>
        <v>390</v>
      </c>
      <c r="M29" s="4">
        <f t="shared" si="0"/>
        <v>560</v>
      </c>
      <c r="N29" s="4">
        <f t="shared" si="1"/>
        <v>1560</v>
      </c>
      <c r="O29" s="4">
        <f t="shared" si="2"/>
        <v>1000</v>
      </c>
      <c r="P29" s="5">
        <f t="shared" si="3"/>
        <v>0.64102564102564108</v>
      </c>
      <c r="Q29" s="3" t="str">
        <f t="shared" si="4"/>
        <v>Medium_order</v>
      </c>
      <c r="R29" s="3" t="str">
        <f t="shared" si="5"/>
        <v>Middle_age</v>
      </c>
      <c r="S29" s="11" t="str">
        <f t="shared" si="6"/>
        <v>High_profit</v>
      </c>
      <c r="T29" s="13" t="str">
        <f t="shared" si="7"/>
        <v>Aug</v>
      </c>
    </row>
    <row r="30" spans="1:20" x14ac:dyDescent="0.3">
      <c r="A30" s="9">
        <v>45462</v>
      </c>
      <c r="B30" s="3">
        <v>3029</v>
      </c>
      <c r="C30" s="3">
        <v>1015</v>
      </c>
      <c r="D30" s="3">
        <v>2045</v>
      </c>
      <c r="E30" s="3">
        <v>8</v>
      </c>
      <c r="F30" s="3">
        <f>VLOOKUP(Sheet1!$D30,Customers!$A$1:$D$51,2,TRUE)</f>
        <v>36</v>
      </c>
      <c r="G30" s="3" t="str">
        <f>VLOOKUP(Sheet1!$D30,Customers!$A$1:$D$51,3,TRUE)</f>
        <v>Male</v>
      </c>
      <c r="H30" s="3" t="str">
        <f>VLOOKUP(Sheet1!$D30,Customers!$A$1:$D$51,4,TRUE)</f>
        <v>Delhi</v>
      </c>
      <c r="I30" s="3" t="str">
        <f>VLOOKUP($C30,Products!$A$1:$E$21,2,TRUE)</f>
        <v>Organizer</v>
      </c>
      <c r="J30" s="3" t="str">
        <f>VLOOKUP($C30,Products!$A$1:$E$21,3,TRUE)</f>
        <v>Office</v>
      </c>
      <c r="K30" s="4">
        <f>VLOOKUP($C30,Products!$A$1:$E$21,4,TRUE)</f>
        <v>70</v>
      </c>
      <c r="L30" s="4">
        <f>VLOOKUP($C30,Products!$A$1:$E$21,5,TRUE)</f>
        <v>210</v>
      </c>
      <c r="M30" s="4">
        <f t="shared" si="0"/>
        <v>560</v>
      </c>
      <c r="N30" s="4">
        <f t="shared" si="1"/>
        <v>1680</v>
      </c>
      <c r="O30" s="4">
        <f t="shared" si="2"/>
        <v>1120</v>
      </c>
      <c r="P30" s="5">
        <f t="shared" si="3"/>
        <v>0.66666666666666663</v>
      </c>
      <c r="Q30" s="3" t="str">
        <f t="shared" si="4"/>
        <v>Medium_order</v>
      </c>
      <c r="R30" s="3" t="str">
        <f t="shared" si="5"/>
        <v>Middle_age</v>
      </c>
      <c r="S30" s="11" t="str">
        <f t="shared" si="6"/>
        <v>High_profit</v>
      </c>
      <c r="T30" s="13" t="str">
        <f t="shared" si="7"/>
        <v>Jun</v>
      </c>
    </row>
    <row r="31" spans="1:20" x14ac:dyDescent="0.3">
      <c r="A31" s="9">
        <v>45627</v>
      </c>
      <c r="B31" s="3">
        <v>3030</v>
      </c>
      <c r="C31" s="3">
        <v>1012</v>
      </c>
      <c r="D31" s="3">
        <v>2017</v>
      </c>
      <c r="E31" s="3">
        <v>2</v>
      </c>
      <c r="F31" s="3">
        <f>VLOOKUP(Sheet1!$D31,Customers!$A$1:$D$51,2,TRUE)</f>
        <v>32</v>
      </c>
      <c r="G31" s="3" t="str">
        <f>VLOOKUP(Sheet1!$D31,Customers!$A$1:$D$51,3,TRUE)</f>
        <v>Male</v>
      </c>
      <c r="H31" s="3" t="str">
        <f>VLOOKUP(Sheet1!$D31,Customers!$A$1:$D$51,4,TRUE)</f>
        <v>Delhi</v>
      </c>
      <c r="I31" s="3" t="str">
        <f>VLOOKUP($C31,Products!$A$1:$E$21,2,TRUE)</f>
        <v>Pen Set</v>
      </c>
      <c r="J31" s="3" t="str">
        <f>VLOOKUP($C31,Products!$A$1:$E$21,3,TRUE)</f>
        <v>Office</v>
      </c>
      <c r="K31" s="4">
        <f>VLOOKUP($C31,Products!$A$1:$E$21,4,TRUE)</f>
        <v>380</v>
      </c>
      <c r="L31" s="4">
        <f>VLOOKUP($C31,Products!$A$1:$E$21,5,TRUE)</f>
        <v>510</v>
      </c>
      <c r="M31" s="4">
        <f t="shared" si="0"/>
        <v>760</v>
      </c>
      <c r="N31" s="4">
        <f t="shared" si="1"/>
        <v>1020</v>
      </c>
      <c r="O31" s="4">
        <f t="shared" si="2"/>
        <v>260</v>
      </c>
      <c r="P31" s="5">
        <f t="shared" si="3"/>
        <v>0.25490196078431371</v>
      </c>
      <c r="Q31" s="3" t="str">
        <f t="shared" si="4"/>
        <v>Low_order</v>
      </c>
      <c r="R31" s="3" t="str">
        <f t="shared" si="5"/>
        <v>Middle_age</v>
      </c>
      <c r="S31" s="11" t="str">
        <f t="shared" si="6"/>
        <v>Low_profit</v>
      </c>
      <c r="T31" s="13" t="str">
        <f t="shared" si="7"/>
        <v>Dec</v>
      </c>
    </row>
    <row r="32" spans="1:20" x14ac:dyDescent="0.3">
      <c r="A32" s="9">
        <v>45556</v>
      </c>
      <c r="B32" s="3">
        <v>3031</v>
      </c>
      <c r="C32" s="3">
        <v>1017</v>
      </c>
      <c r="D32" s="3">
        <v>2048</v>
      </c>
      <c r="E32" s="3">
        <v>3</v>
      </c>
      <c r="F32" s="3">
        <f>VLOOKUP(Sheet1!$D32,Customers!$A$1:$D$51,2,TRUE)</f>
        <v>41</v>
      </c>
      <c r="G32" s="3" t="str">
        <f>VLOOKUP(Sheet1!$D32,Customers!$A$1:$D$51,3,TRUE)</f>
        <v>Female</v>
      </c>
      <c r="H32" s="3" t="str">
        <f>VLOOKUP(Sheet1!$D32,Customers!$A$1:$D$51,4,TRUE)</f>
        <v>Mumbai</v>
      </c>
      <c r="I32" s="3" t="str">
        <f>VLOOKUP($C32,Products!$A$1:$E$21,2,TRUE)</f>
        <v>Dumbbells</v>
      </c>
      <c r="J32" s="3" t="str">
        <f>VLOOKUP($C32,Products!$A$1:$E$21,3,TRUE)</f>
        <v>Fitness</v>
      </c>
      <c r="K32" s="4">
        <f>VLOOKUP($C32,Products!$A$1:$E$21,4,TRUE)</f>
        <v>120</v>
      </c>
      <c r="L32" s="4">
        <f>VLOOKUP($C32,Products!$A$1:$E$21,5,TRUE)</f>
        <v>200</v>
      </c>
      <c r="M32" s="4">
        <f t="shared" si="0"/>
        <v>360</v>
      </c>
      <c r="N32" s="4">
        <f t="shared" si="1"/>
        <v>600</v>
      </c>
      <c r="O32" s="4">
        <f t="shared" si="2"/>
        <v>240</v>
      </c>
      <c r="P32" s="5">
        <f t="shared" si="3"/>
        <v>0.4</v>
      </c>
      <c r="Q32" s="3" t="str">
        <f t="shared" si="4"/>
        <v>Low_order</v>
      </c>
      <c r="R32" s="3" t="str">
        <f t="shared" si="5"/>
        <v>Senior</v>
      </c>
      <c r="S32" s="11" t="str">
        <f t="shared" si="6"/>
        <v>Medium_profit</v>
      </c>
      <c r="T32" s="13" t="str">
        <f t="shared" si="7"/>
        <v>Sep</v>
      </c>
    </row>
    <row r="33" spans="1:20" x14ac:dyDescent="0.3">
      <c r="A33" s="9">
        <v>45334</v>
      </c>
      <c r="B33" s="3">
        <v>3032</v>
      </c>
      <c r="C33" s="3">
        <v>1017</v>
      </c>
      <c r="D33" s="3">
        <v>2044</v>
      </c>
      <c r="E33" s="3">
        <v>1</v>
      </c>
      <c r="F33" s="3">
        <f>VLOOKUP(Sheet1!$D33,Customers!$A$1:$D$51,2,TRUE)</f>
        <v>44</v>
      </c>
      <c r="G33" s="3" t="str">
        <f>VLOOKUP(Sheet1!$D33,Customers!$A$1:$D$51,3,TRUE)</f>
        <v>Female</v>
      </c>
      <c r="H33" s="3" t="str">
        <f>VLOOKUP(Sheet1!$D33,Customers!$A$1:$D$51,4,TRUE)</f>
        <v>Mumbai</v>
      </c>
      <c r="I33" s="3" t="str">
        <f>VLOOKUP($C33,Products!$A$1:$E$21,2,TRUE)</f>
        <v>Dumbbells</v>
      </c>
      <c r="J33" s="3" t="str">
        <f>VLOOKUP($C33,Products!$A$1:$E$21,3,TRUE)</f>
        <v>Fitness</v>
      </c>
      <c r="K33" s="4">
        <f>VLOOKUP($C33,Products!$A$1:$E$21,4,TRUE)</f>
        <v>120</v>
      </c>
      <c r="L33" s="4">
        <f>VLOOKUP($C33,Products!$A$1:$E$21,5,TRUE)</f>
        <v>200</v>
      </c>
      <c r="M33" s="4">
        <f t="shared" si="0"/>
        <v>120</v>
      </c>
      <c r="N33" s="4">
        <f t="shared" si="1"/>
        <v>200</v>
      </c>
      <c r="O33" s="4">
        <f t="shared" si="2"/>
        <v>80</v>
      </c>
      <c r="P33" s="5">
        <f t="shared" si="3"/>
        <v>0.4</v>
      </c>
      <c r="Q33" s="3" t="str">
        <f t="shared" si="4"/>
        <v>Low_order</v>
      </c>
      <c r="R33" s="3" t="str">
        <f t="shared" si="5"/>
        <v>Senior</v>
      </c>
      <c r="S33" s="11" t="str">
        <f t="shared" si="6"/>
        <v>Medium_profit</v>
      </c>
      <c r="T33" s="13" t="str">
        <f t="shared" si="7"/>
        <v>Feb</v>
      </c>
    </row>
    <row r="34" spans="1:20" x14ac:dyDescent="0.3">
      <c r="A34" s="9">
        <v>45555</v>
      </c>
      <c r="B34" s="3">
        <v>3033</v>
      </c>
      <c r="C34" s="3">
        <v>1015</v>
      </c>
      <c r="D34" s="3">
        <v>2036</v>
      </c>
      <c r="E34" s="3">
        <v>4</v>
      </c>
      <c r="F34" s="3">
        <f>VLOOKUP(Sheet1!$D34,Customers!$A$1:$D$51,2,TRUE)</f>
        <v>30</v>
      </c>
      <c r="G34" s="3" t="str">
        <f>VLOOKUP(Sheet1!$D34,Customers!$A$1:$D$51,3,TRUE)</f>
        <v>Male</v>
      </c>
      <c r="H34" s="3" t="str">
        <f>VLOOKUP(Sheet1!$D34,Customers!$A$1:$D$51,4,TRUE)</f>
        <v>Delhi</v>
      </c>
      <c r="I34" s="3" t="str">
        <f>VLOOKUP($C34,Products!$A$1:$E$21,2,TRUE)</f>
        <v>Organizer</v>
      </c>
      <c r="J34" s="3" t="str">
        <f>VLOOKUP($C34,Products!$A$1:$E$21,3,TRUE)</f>
        <v>Office</v>
      </c>
      <c r="K34" s="4">
        <f>VLOOKUP($C34,Products!$A$1:$E$21,4,TRUE)</f>
        <v>70</v>
      </c>
      <c r="L34" s="4">
        <f>VLOOKUP($C34,Products!$A$1:$E$21,5,TRUE)</f>
        <v>210</v>
      </c>
      <c r="M34" s="4">
        <f t="shared" si="0"/>
        <v>280</v>
      </c>
      <c r="N34" s="4">
        <f t="shared" si="1"/>
        <v>840</v>
      </c>
      <c r="O34" s="4">
        <f t="shared" si="2"/>
        <v>560</v>
      </c>
      <c r="P34" s="5">
        <f t="shared" si="3"/>
        <v>0.66666666666666663</v>
      </c>
      <c r="Q34" s="3" t="str">
        <f t="shared" si="4"/>
        <v>Low_order</v>
      </c>
      <c r="R34" s="3" t="str">
        <f t="shared" si="5"/>
        <v>Young</v>
      </c>
      <c r="S34" s="11" t="str">
        <f t="shared" si="6"/>
        <v>High_profit</v>
      </c>
      <c r="T34" s="13" t="str">
        <f t="shared" si="7"/>
        <v>Sep</v>
      </c>
    </row>
    <row r="35" spans="1:20" x14ac:dyDescent="0.3">
      <c r="A35" s="9">
        <v>45445</v>
      </c>
      <c r="B35" s="3">
        <v>3034</v>
      </c>
      <c r="C35" s="3">
        <v>1020</v>
      </c>
      <c r="D35" s="3">
        <v>2036</v>
      </c>
      <c r="E35" s="3">
        <v>2</v>
      </c>
      <c r="F35" s="3">
        <f>VLOOKUP(Sheet1!$D35,Customers!$A$1:$D$51,2,TRUE)</f>
        <v>30</v>
      </c>
      <c r="G35" s="3" t="str">
        <f>VLOOKUP(Sheet1!$D35,Customers!$A$1:$D$51,3,TRUE)</f>
        <v>Male</v>
      </c>
      <c r="H35" s="3" t="str">
        <f>VLOOKUP(Sheet1!$D35,Customers!$A$1:$D$51,4,TRUE)</f>
        <v>Delhi</v>
      </c>
      <c r="I35" s="3" t="str">
        <f>VLOOKUP($C35,Products!$A$1:$E$21,2,TRUE)</f>
        <v>Water Bottle</v>
      </c>
      <c r="J35" s="3" t="str">
        <f>VLOOKUP($C35,Products!$A$1:$E$21,3,TRUE)</f>
        <v>Fitness</v>
      </c>
      <c r="K35" s="4">
        <f>VLOOKUP($C35,Products!$A$1:$E$21,4,TRUE)</f>
        <v>400</v>
      </c>
      <c r="L35" s="4">
        <f>VLOOKUP($C35,Products!$A$1:$E$21,5,TRUE)</f>
        <v>560</v>
      </c>
      <c r="M35" s="4">
        <f t="shared" si="0"/>
        <v>800</v>
      </c>
      <c r="N35" s="4">
        <f t="shared" si="1"/>
        <v>1120</v>
      </c>
      <c r="O35" s="4">
        <f t="shared" si="2"/>
        <v>320</v>
      </c>
      <c r="P35" s="5">
        <f t="shared" si="3"/>
        <v>0.2857142857142857</v>
      </c>
      <c r="Q35" s="3" t="str">
        <f t="shared" si="4"/>
        <v>Low_order</v>
      </c>
      <c r="R35" s="3" t="str">
        <f t="shared" si="5"/>
        <v>Young</v>
      </c>
      <c r="S35" s="11" t="str">
        <f t="shared" si="6"/>
        <v>Low_profit</v>
      </c>
      <c r="T35" s="13" t="str">
        <f t="shared" si="7"/>
        <v>Jun</v>
      </c>
    </row>
    <row r="36" spans="1:20" x14ac:dyDescent="0.3">
      <c r="A36" s="9">
        <v>45301</v>
      </c>
      <c r="B36" s="3">
        <v>3035</v>
      </c>
      <c r="C36" s="3">
        <v>1016</v>
      </c>
      <c r="D36" s="3">
        <v>2020</v>
      </c>
      <c r="E36" s="3">
        <v>2</v>
      </c>
      <c r="F36" s="3">
        <f>VLOOKUP(Sheet1!$D36,Customers!$A$1:$D$51,2,TRUE)</f>
        <v>27</v>
      </c>
      <c r="G36" s="3" t="str">
        <f>VLOOKUP(Sheet1!$D36,Customers!$A$1:$D$51,3,TRUE)</f>
        <v>Male</v>
      </c>
      <c r="H36" s="3" t="str">
        <f>VLOOKUP(Sheet1!$D36,Customers!$A$1:$D$51,4,TRUE)</f>
        <v>Chandigarh</v>
      </c>
      <c r="I36" s="3" t="str">
        <f>VLOOKUP($C36,Products!$A$1:$E$21,2,TRUE)</f>
        <v>Yoga Mat</v>
      </c>
      <c r="J36" s="3" t="str">
        <f>VLOOKUP($C36,Products!$A$1:$E$21,3,TRUE)</f>
        <v>Fitness</v>
      </c>
      <c r="K36" s="4">
        <f>VLOOKUP($C36,Products!$A$1:$E$21,4,TRUE)</f>
        <v>330</v>
      </c>
      <c r="L36" s="4">
        <f>VLOOKUP($C36,Products!$A$1:$E$21,5,TRUE)</f>
        <v>490</v>
      </c>
      <c r="M36" s="4">
        <f t="shared" si="0"/>
        <v>660</v>
      </c>
      <c r="N36" s="4">
        <f t="shared" si="1"/>
        <v>980</v>
      </c>
      <c r="O36" s="4">
        <f t="shared" si="2"/>
        <v>320</v>
      </c>
      <c r="P36" s="5">
        <f t="shared" si="3"/>
        <v>0.32653061224489793</v>
      </c>
      <c r="Q36" s="3" t="str">
        <f t="shared" si="4"/>
        <v>Low_order</v>
      </c>
      <c r="R36" s="3" t="str">
        <f t="shared" si="5"/>
        <v>Young</v>
      </c>
      <c r="S36" s="11" t="str">
        <f t="shared" si="6"/>
        <v>Medium_profit</v>
      </c>
      <c r="T36" s="13" t="str">
        <f t="shared" si="7"/>
        <v>Jan</v>
      </c>
    </row>
    <row r="37" spans="1:20" x14ac:dyDescent="0.3">
      <c r="A37" s="9">
        <v>45612</v>
      </c>
      <c r="B37" s="3">
        <v>3036</v>
      </c>
      <c r="C37" s="3">
        <v>1003</v>
      </c>
      <c r="D37" s="3">
        <v>2041</v>
      </c>
      <c r="E37" s="3">
        <v>8</v>
      </c>
      <c r="F37" s="3">
        <f>VLOOKUP(Sheet1!$D37,Customers!$A$1:$D$51,2,TRUE)</f>
        <v>28</v>
      </c>
      <c r="G37" s="3" t="str">
        <f>VLOOKUP(Sheet1!$D37,Customers!$A$1:$D$51,3,TRUE)</f>
        <v>Male</v>
      </c>
      <c r="H37" s="3" t="str">
        <f>VLOOKUP(Sheet1!$D37,Customers!$A$1:$D$51,4,TRUE)</f>
        <v>Pune</v>
      </c>
      <c r="I37" s="3" t="str">
        <f>VLOOKUP($C37,Products!$A$1:$E$21,2,TRUE)</f>
        <v>Mouse</v>
      </c>
      <c r="J37" s="3" t="str">
        <f>VLOOKUP($C37,Products!$A$1:$E$21,3,TRUE)</f>
        <v>Electronics</v>
      </c>
      <c r="K37" s="4">
        <f>VLOOKUP($C37,Products!$A$1:$E$21,4,TRUE)</f>
        <v>140</v>
      </c>
      <c r="L37" s="4">
        <f>VLOOKUP($C37,Products!$A$1:$E$21,5,TRUE)</f>
        <v>350</v>
      </c>
      <c r="M37" s="4">
        <f t="shared" si="0"/>
        <v>1120</v>
      </c>
      <c r="N37" s="4">
        <f t="shared" si="1"/>
        <v>2800</v>
      </c>
      <c r="O37" s="4">
        <f t="shared" si="2"/>
        <v>1680</v>
      </c>
      <c r="P37" s="5">
        <f t="shared" si="3"/>
        <v>0.6</v>
      </c>
      <c r="Q37" s="3" t="str">
        <f t="shared" si="4"/>
        <v>High_order</v>
      </c>
      <c r="R37" s="3" t="str">
        <f t="shared" si="5"/>
        <v>Young</v>
      </c>
      <c r="S37" s="11" t="str">
        <f t="shared" si="6"/>
        <v>High_profit</v>
      </c>
      <c r="T37" s="13" t="str">
        <f t="shared" si="7"/>
        <v>Nov</v>
      </c>
    </row>
    <row r="38" spans="1:20" x14ac:dyDescent="0.3">
      <c r="A38" s="9">
        <v>45343</v>
      </c>
      <c r="B38" s="3">
        <v>3037</v>
      </c>
      <c r="C38" s="3">
        <v>1011</v>
      </c>
      <c r="D38" s="3">
        <v>2035</v>
      </c>
      <c r="E38" s="3">
        <v>3</v>
      </c>
      <c r="F38" s="3">
        <f>VLOOKUP(Sheet1!$D38,Customers!$A$1:$D$51,2,TRUE)</f>
        <v>37</v>
      </c>
      <c r="G38" s="3" t="str">
        <f>VLOOKUP(Sheet1!$D38,Customers!$A$1:$D$51,3,TRUE)</f>
        <v>Female</v>
      </c>
      <c r="H38" s="3" t="str">
        <f>VLOOKUP(Sheet1!$D38,Customers!$A$1:$D$51,4,TRUE)</f>
        <v>Delhi</v>
      </c>
      <c r="I38" s="3" t="str">
        <f>VLOOKUP($C38,Products!$A$1:$E$21,2,TRUE)</f>
        <v>Notebook</v>
      </c>
      <c r="J38" s="3" t="str">
        <f>VLOOKUP($C38,Products!$A$1:$E$21,3,TRUE)</f>
        <v>Office</v>
      </c>
      <c r="K38" s="4">
        <f>VLOOKUP($C38,Products!$A$1:$E$21,4,TRUE)</f>
        <v>120</v>
      </c>
      <c r="L38" s="4">
        <f>VLOOKUP($C38,Products!$A$1:$E$21,5,TRUE)</f>
        <v>180</v>
      </c>
      <c r="M38" s="4">
        <f t="shared" si="0"/>
        <v>360</v>
      </c>
      <c r="N38" s="4">
        <f t="shared" si="1"/>
        <v>540</v>
      </c>
      <c r="O38" s="4">
        <f t="shared" si="2"/>
        <v>180</v>
      </c>
      <c r="P38" s="5">
        <f t="shared" si="3"/>
        <v>0.33333333333333331</v>
      </c>
      <c r="Q38" s="3" t="str">
        <f t="shared" si="4"/>
        <v>Low_order</v>
      </c>
      <c r="R38" s="3" t="str">
        <f t="shared" si="5"/>
        <v>Middle_age</v>
      </c>
      <c r="S38" s="11" t="str">
        <f t="shared" si="6"/>
        <v>Medium_profit</v>
      </c>
      <c r="T38" s="13" t="str">
        <f t="shared" si="7"/>
        <v>Feb</v>
      </c>
    </row>
    <row r="39" spans="1:20" x14ac:dyDescent="0.3">
      <c r="A39" s="9">
        <v>45499</v>
      </c>
      <c r="B39" s="3">
        <v>3038</v>
      </c>
      <c r="C39" s="3">
        <v>1006</v>
      </c>
      <c r="D39" s="3">
        <v>2011</v>
      </c>
      <c r="E39" s="3">
        <v>3</v>
      </c>
      <c r="F39" s="3">
        <f>VLOOKUP(Sheet1!$D39,Customers!$A$1:$D$51,2,TRUE)</f>
        <v>33</v>
      </c>
      <c r="G39" s="3" t="str">
        <f>VLOOKUP(Sheet1!$D39,Customers!$A$1:$D$51,3,TRUE)</f>
        <v>Female</v>
      </c>
      <c r="H39" s="3" t="str">
        <f>VLOOKUP(Sheet1!$D39,Customers!$A$1:$D$51,4,TRUE)</f>
        <v>Chandigarh</v>
      </c>
      <c r="I39" s="3" t="str">
        <f>VLOOKUP($C39,Products!$A$1:$E$21,2,TRUE)</f>
        <v>Phone Case</v>
      </c>
      <c r="J39" s="3" t="str">
        <f>VLOOKUP($C39,Products!$A$1:$E$21,3,TRUE)</f>
        <v>Accessories</v>
      </c>
      <c r="K39" s="4">
        <f>VLOOKUP($C39,Products!$A$1:$E$21,4,TRUE)</f>
        <v>320</v>
      </c>
      <c r="L39" s="4">
        <f>VLOOKUP($C39,Products!$A$1:$E$21,5,TRUE)</f>
        <v>430</v>
      </c>
      <c r="M39" s="4">
        <f t="shared" si="0"/>
        <v>960</v>
      </c>
      <c r="N39" s="4">
        <f t="shared" si="1"/>
        <v>1290</v>
      </c>
      <c r="O39" s="4">
        <f t="shared" si="2"/>
        <v>330</v>
      </c>
      <c r="P39" s="5">
        <f t="shared" si="3"/>
        <v>0.2558139534883721</v>
      </c>
      <c r="Q39" s="3" t="str">
        <f t="shared" si="4"/>
        <v>Medium_order</v>
      </c>
      <c r="R39" s="3" t="str">
        <f t="shared" si="5"/>
        <v>Middle_age</v>
      </c>
      <c r="S39" s="11" t="str">
        <f t="shared" si="6"/>
        <v>Low_profit</v>
      </c>
      <c r="T39" s="13" t="str">
        <f t="shared" si="7"/>
        <v>Jul</v>
      </c>
    </row>
    <row r="40" spans="1:20" x14ac:dyDescent="0.3">
      <c r="A40" s="9">
        <v>45593</v>
      </c>
      <c r="B40" s="3">
        <v>3039</v>
      </c>
      <c r="C40" s="3">
        <v>1005</v>
      </c>
      <c r="D40" s="3">
        <v>2002</v>
      </c>
      <c r="E40" s="3">
        <v>1</v>
      </c>
      <c r="F40" s="3">
        <f>VLOOKUP(Sheet1!$D40,Customers!$A$1:$D$51,2,TRUE)</f>
        <v>33</v>
      </c>
      <c r="G40" s="3" t="str">
        <f>VLOOKUP(Sheet1!$D40,Customers!$A$1:$D$51,3,TRUE)</f>
        <v>Male</v>
      </c>
      <c r="H40" s="3" t="str">
        <f>VLOOKUP(Sheet1!$D40,Customers!$A$1:$D$51,4,TRUE)</f>
        <v>Delhi</v>
      </c>
      <c r="I40" s="3" t="str">
        <f>VLOOKUP($C40,Products!$A$1:$E$21,2,TRUE)</f>
        <v>Webcam</v>
      </c>
      <c r="J40" s="3" t="str">
        <f>VLOOKUP($C40,Products!$A$1:$E$21,3,TRUE)</f>
        <v>Electronics</v>
      </c>
      <c r="K40" s="4">
        <f>VLOOKUP($C40,Products!$A$1:$E$21,4,TRUE)</f>
        <v>340</v>
      </c>
      <c r="L40" s="4">
        <f>VLOOKUP($C40,Products!$A$1:$E$21,5,TRUE)</f>
        <v>520</v>
      </c>
      <c r="M40" s="4">
        <f t="shared" si="0"/>
        <v>340</v>
      </c>
      <c r="N40" s="4">
        <f t="shared" si="1"/>
        <v>520</v>
      </c>
      <c r="O40" s="4">
        <f t="shared" si="2"/>
        <v>180</v>
      </c>
      <c r="P40" s="5">
        <f t="shared" si="3"/>
        <v>0.34615384615384615</v>
      </c>
      <c r="Q40" s="3" t="str">
        <f t="shared" si="4"/>
        <v>Low_order</v>
      </c>
      <c r="R40" s="3" t="str">
        <f t="shared" si="5"/>
        <v>Middle_age</v>
      </c>
      <c r="S40" s="11" t="str">
        <f t="shared" si="6"/>
        <v>Medium_profit</v>
      </c>
      <c r="T40" s="13" t="str">
        <f t="shared" si="7"/>
        <v>Oct</v>
      </c>
    </row>
    <row r="41" spans="1:20" x14ac:dyDescent="0.3">
      <c r="A41" s="9">
        <v>45462</v>
      </c>
      <c r="B41" s="3">
        <v>3040</v>
      </c>
      <c r="C41" s="3">
        <v>1018</v>
      </c>
      <c r="D41" s="3">
        <v>2001</v>
      </c>
      <c r="E41" s="3">
        <v>5</v>
      </c>
      <c r="F41" s="3">
        <f>VLOOKUP(Sheet1!$D41,Customers!$A$1:$D$51,2,TRUE)</f>
        <v>44</v>
      </c>
      <c r="G41" s="3" t="str">
        <f>VLOOKUP(Sheet1!$D41,Customers!$A$1:$D$51,3,TRUE)</f>
        <v>Male</v>
      </c>
      <c r="H41" s="3" t="str">
        <f>VLOOKUP(Sheet1!$D41,Customers!$A$1:$D$51,4,TRUE)</f>
        <v>Delhi</v>
      </c>
      <c r="I41" s="3" t="str">
        <f>VLOOKUP($C41,Products!$A$1:$E$21,2,TRUE)</f>
        <v>Resistance Band</v>
      </c>
      <c r="J41" s="3" t="str">
        <f>VLOOKUP($C41,Products!$A$1:$E$21,3,TRUE)</f>
        <v>Fitness</v>
      </c>
      <c r="K41" s="4">
        <f>VLOOKUP($C41,Products!$A$1:$E$21,4,TRUE)</f>
        <v>310</v>
      </c>
      <c r="L41" s="4">
        <f>VLOOKUP($C41,Products!$A$1:$E$21,5,TRUE)</f>
        <v>480</v>
      </c>
      <c r="M41" s="4">
        <f t="shared" si="0"/>
        <v>1550</v>
      </c>
      <c r="N41" s="4">
        <f t="shared" si="1"/>
        <v>2400</v>
      </c>
      <c r="O41" s="4">
        <f t="shared" si="2"/>
        <v>850</v>
      </c>
      <c r="P41" s="5">
        <f t="shared" si="3"/>
        <v>0.35416666666666669</v>
      </c>
      <c r="Q41" s="3" t="str">
        <f t="shared" si="4"/>
        <v>Medium_order</v>
      </c>
      <c r="R41" s="3" t="str">
        <f t="shared" si="5"/>
        <v>Senior</v>
      </c>
      <c r="S41" s="11" t="str">
        <f t="shared" si="6"/>
        <v>Medium_profit</v>
      </c>
      <c r="T41" s="13" t="str">
        <f t="shared" si="7"/>
        <v>Jun</v>
      </c>
    </row>
    <row r="42" spans="1:20" x14ac:dyDescent="0.3">
      <c r="A42" s="9">
        <v>45430</v>
      </c>
      <c r="B42" s="3">
        <v>3041</v>
      </c>
      <c r="C42" s="3">
        <v>1003</v>
      </c>
      <c r="D42" s="3">
        <v>2035</v>
      </c>
      <c r="E42" s="3">
        <v>6</v>
      </c>
      <c r="F42" s="3">
        <f>VLOOKUP(Sheet1!$D42,Customers!$A$1:$D$51,2,TRUE)</f>
        <v>37</v>
      </c>
      <c r="G42" s="3" t="str">
        <f>VLOOKUP(Sheet1!$D42,Customers!$A$1:$D$51,3,TRUE)</f>
        <v>Female</v>
      </c>
      <c r="H42" s="3" t="str">
        <f>VLOOKUP(Sheet1!$D42,Customers!$A$1:$D$51,4,TRUE)</f>
        <v>Delhi</v>
      </c>
      <c r="I42" s="3" t="str">
        <f>VLOOKUP($C42,Products!$A$1:$E$21,2,TRUE)</f>
        <v>Mouse</v>
      </c>
      <c r="J42" s="3" t="str">
        <f>VLOOKUP($C42,Products!$A$1:$E$21,3,TRUE)</f>
        <v>Electronics</v>
      </c>
      <c r="K42" s="4">
        <f>VLOOKUP($C42,Products!$A$1:$E$21,4,TRUE)</f>
        <v>140</v>
      </c>
      <c r="L42" s="4">
        <f>VLOOKUP($C42,Products!$A$1:$E$21,5,TRUE)</f>
        <v>350</v>
      </c>
      <c r="M42" s="4">
        <f t="shared" si="0"/>
        <v>840</v>
      </c>
      <c r="N42" s="4">
        <f t="shared" si="1"/>
        <v>2100</v>
      </c>
      <c r="O42" s="4">
        <f t="shared" si="2"/>
        <v>1260</v>
      </c>
      <c r="P42" s="5">
        <f t="shared" si="3"/>
        <v>0.6</v>
      </c>
      <c r="Q42" s="3" t="str">
        <f t="shared" si="4"/>
        <v>Medium_order</v>
      </c>
      <c r="R42" s="3" t="str">
        <f t="shared" si="5"/>
        <v>Middle_age</v>
      </c>
      <c r="S42" s="11" t="str">
        <f t="shared" si="6"/>
        <v>High_profit</v>
      </c>
      <c r="T42" s="13" t="str">
        <f t="shared" si="7"/>
        <v>May</v>
      </c>
    </row>
    <row r="43" spans="1:20" x14ac:dyDescent="0.3">
      <c r="A43" s="9">
        <v>45570</v>
      </c>
      <c r="B43" s="3">
        <v>3042</v>
      </c>
      <c r="C43" s="3">
        <v>1001</v>
      </c>
      <c r="D43" s="3">
        <v>2024</v>
      </c>
      <c r="E43" s="3">
        <v>5</v>
      </c>
      <c r="F43" s="3">
        <f>VLOOKUP(Sheet1!$D43,Customers!$A$1:$D$51,2,TRUE)</f>
        <v>26</v>
      </c>
      <c r="G43" s="3" t="str">
        <f>VLOOKUP(Sheet1!$D43,Customers!$A$1:$D$51,3,TRUE)</f>
        <v>Female</v>
      </c>
      <c r="H43" s="3" t="str">
        <f>VLOOKUP(Sheet1!$D43,Customers!$A$1:$D$51,4,TRUE)</f>
        <v>Delhi</v>
      </c>
      <c r="I43" s="3" t="str">
        <f>VLOOKUP($C43,Products!$A$1:$E$21,2,TRUE)</f>
        <v>Headphones</v>
      </c>
      <c r="J43" s="3" t="str">
        <f>VLOOKUP($C43,Products!$A$1:$E$21,3,TRUE)</f>
        <v>Electronics</v>
      </c>
      <c r="K43" s="4">
        <f>VLOOKUP($C43,Products!$A$1:$E$21,4,TRUE)</f>
        <v>380</v>
      </c>
      <c r="L43" s="4">
        <f>VLOOKUP($C43,Products!$A$1:$E$21,5,TRUE)</f>
        <v>550</v>
      </c>
      <c r="M43" s="4">
        <f t="shared" si="0"/>
        <v>1900</v>
      </c>
      <c r="N43" s="4">
        <f t="shared" si="1"/>
        <v>2750</v>
      </c>
      <c r="O43" s="4">
        <f t="shared" si="2"/>
        <v>850</v>
      </c>
      <c r="P43" s="5">
        <f t="shared" si="3"/>
        <v>0.30909090909090908</v>
      </c>
      <c r="Q43" s="3" t="str">
        <f t="shared" si="4"/>
        <v>High_order</v>
      </c>
      <c r="R43" s="3" t="str">
        <f t="shared" si="5"/>
        <v>Young</v>
      </c>
      <c r="S43" s="11" t="str">
        <f t="shared" si="6"/>
        <v>Low_profit</v>
      </c>
      <c r="T43" s="13" t="str">
        <f t="shared" si="7"/>
        <v>Oct</v>
      </c>
    </row>
    <row r="44" spans="1:20" x14ac:dyDescent="0.3">
      <c r="A44" s="9">
        <v>45409</v>
      </c>
      <c r="B44" s="3">
        <v>3043</v>
      </c>
      <c r="C44" s="3">
        <v>1005</v>
      </c>
      <c r="D44" s="3">
        <v>2038</v>
      </c>
      <c r="E44" s="3">
        <v>10</v>
      </c>
      <c r="F44" s="3">
        <f>VLOOKUP(Sheet1!$D44,Customers!$A$1:$D$51,2,TRUE)</f>
        <v>22</v>
      </c>
      <c r="G44" s="3" t="str">
        <f>VLOOKUP(Sheet1!$D44,Customers!$A$1:$D$51,3,TRUE)</f>
        <v>Male</v>
      </c>
      <c r="H44" s="3" t="str">
        <f>VLOOKUP(Sheet1!$D44,Customers!$A$1:$D$51,4,TRUE)</f>
        <v>Bangalore</v>
      </c>
      <c r="I44" s="3" t="str">
        <f>VLOOKUP($C44,Products!$A$1:$E$21,2,TRUE)</f>
        <v>Webcam</v>
      </c>
      <c r="J44" s="3" t="str">
        <f>VLOOKUP($C44,Products!$A$1:$E$21,3,TRUE)</f>
        <v>Electronics</v>
      </c>
      <c r="K44" s="4">
        <f>VLOOKUP($C44,Products!$A$1:$E$21,4,TRUE)</f>
        <v>340</v>
      </c>
      <c r="L44" s="4">
        <f>VLOOKUP($C44,Products!$A$1:$E$21,5,TRUE)</f>
        <v>520</v>
      </c>
      <c r="M44" s="4">
        <f t="shared" si="0"/>
        <v>3400</v>
      </c>
      <c r="N44" s="4">
        <f t="shared" si="1"/>
        <v>5200</v>
      </c>
      <c r="O44" s="4">
        <f t="shared" si="2"/>
        <v>1800</v>
      </c>
      <c r="P44" s="5">
        <f t="shared" si="3"/>
        <v>0.34615384615384615</v>
      </c>
      <c r="Q44" s="3" t="str">
        <f t="shared" si="4"/>
        <v>High_order</v>
      </c>
      <c r="R44" s="3" t="str">
        <f t="shared" si="5"/>
        <v>Young</v>
      </c>
      <c r="S44" s="11" t="str">
        <f t="shared" si="6"/>
        <v>Medium_profit</v>
      </c>
      <c r="T44" s="13" t="str">
        <f t="shared" si="7"/>
        <v>Apr</v>
      </c>
    </row>
    <row r="45" spans="1:20" x14ac:dyDescent="0.3">
      <c r="A45" s="9">
        <v>45307</v>
      </c>
      <c r="B45" s="3">
        <v>3044</v>
      </c>
      <c r="C45" s="3">
        <v>1003</v>
      </c>
      <c r="D45" s="3">
        <v>2042</v>
      </c>
      <c r="E45" s="3">
        <v>8</v>
      </c>
      <c r="F45" s="3">
        <f>VLOOKUP(Sheet1!$D45,Customers!$A$1:$D$51,2,TRUE)</f>
        <v>18</v>
      </c>
      <c r="G45" s="3" t="str">
        <f>VLOOKUP(Sheet1!$D45,Customers!$A$1:$D$51,3,TRUE)</f>
        <v>Female</v>
      </c>
      <c r="H45" s="3" t="str">
        <f>VLOOKUP(Sheet1!$D45,Customers!$A$1:$D$51,4,TRUE)</f>
        <v>Bangalore</v>
      </c>
      <c r="I45" s="3" t="str">
        <f>VLOOKUP($C45,Products!$A$1:$E$21,2,TRUE)</f>
        <v>Mouse</v>
      </c>
      <c r="J45" s="3" t="str">
        <f>VLOOKUP($C45,Products!$A$1:$E$21,3,TRUE)</f>
        <v>Electronics</v>
      </c>
      <c r="K45" s="4">
        <f>VLOOKUP($C45,Products!$A$1:$E$21,4,TRUE)</f>
        <v>140</v>
      </c>
      <c r="L45" s="4">
        <f>VLOOKUP($C45,Products!$A$1:$E$21,5,TRUE)</f>
        <v>350</v>
      </c>
      <c r="M45" s="4">
        <f t="shared" si="0"/>
        <v>1120</v>
      </c>
      <c r="N45" s="4">
        <f t="shared" si="1"/>
        <v>2800</v>
      </c>
      <c r="O45" s="4">
        <f t="shared" si="2"/>
        <v>1680</v>
      </c>
      <c r="P45" s="5">
        <f t="shared" si="3"/>
        <v>0.6</v>
      </c>
      <c r="Q45" s="3" t="str">
        <f t="shared" si="4"/>
        <v>High_order</v>
      </c>
      <c r="R45" s="3" t="str">
        <f t="shared" si="5"/>
        <v>Young</v>
      </c>
      <c r="S45" s="11" t="str">
        <f t="shared" si="6"/>
        <v>High_profit</v>
      </c>
      <c r="T45" s="13" t="str">
        <f t="shared" si="7"/>
        <v>Jan</v>
      </c>
    </row>
    <row r="46" spans="1:20" x14ac:dyDescent="0.3">
      <c r="A46" s="9">
        <v>45553</v>
      </c>
      <c r="B46" s="3">
        <v>3045</v>
      </c>
      <c r="C46" s="3">
        <v>1005</v>
      </c>
      <c r="D46" s="3">
        <v>2038</v>
      </c>
      <c r="E46" s="3">
        <v>3</v>
      </c>
      <c r="F46" s="3">
        <f>VLOOKUP(Sheet1!$D46,Customers!$A$1:$D$51,2,TRUE)</f>
        <v>22</v>
      </c>
      <c r="G46" s="3" t="str">
        <f>VLOOKUP(Sheet1!$D46,Customers!$A$1:$D$51,3,TRUE)</f>
        <v>Male</v>
      </c>
      <c r="H46" s="3" t="str">
        <f>VLOOKUP(Sheet1!$D46,Customers!$A$1:$D$51,4,TRUE)</f>
        <v>Bangalore</v>
      </c>
      <c r="I46" s="3" t="str">
        <f>VLOOKUP($C46,Products!$A$1:$E$21,2,TRUE)</f>
        <v>Webcam</v>
      </c>
      <c r="J46" s="3" t="str">
        <f>VLOOKUP($C46,Products!$A$1:$E$21,3,TRUE)</f>
        <v>Electronics</v>
      </c>
      <c r="K46" s="4">
        <f>VLOOKUP($C46,Products!$A$1:$E$21,4,TRUE)</f>
        <v>340</v>
      </c>
      <c r="L46" s="4">
        <f>VLOOKUP($C46,Products!$A$1:$E$21,5,TRUE)</f>
        <v>520</v>
      </c>
      <c r="M46" s="4">
        <f t="shared" si="0"/>
        <v>1020</v>
      </c>
      <c r="N46" s="4">
        <f t="shared" si="1"/>
        <v>1560</v>
      </c>
      <c r="O46" s="4">
        <f t="shared" si="2"/>
        <v>540</v>
      </c>
      <c r="P46" s="5">
        <f t="shared" si="3"/>
        <v>0.34615384615384615</v>
      </c>
      <c r="Q46" s="3" t="str">
        <f t="shared" si="4"/>
        <v>Medium_order</v>
      </c>
      <c r="R46" s="3" t="str">
        <f t="shared" si="5"/>
        <v>Young</v>
      </c>
      <c r="S46" s="11" t="str">
        <f t="shared" si="6"/>
        <v>Medium_profit</v>
      </c>
      <c r="T46" s="13" t="str">
        <f t="shared" si="7"/>
        <v>Sep</v>
      </c>
    </row>
    <row r="47" spans="1:20" x14ac:dyDescent="0.3">
      <c r="A47" s="9">
        <v>45409</v>
      </c>
      <c r="B47" s="3">
        <v>3046</v>
      </c>
      <c r="C47" s="3">
        <v>1007</v>
      </c>
      <c r="D47" s="3">
        <v>2020</v>
      </c>
      <c r="E47" s="3">
        <v>3</v>
      </c>
      <c r="F47" s="3">
        <f>VLOOKUP(Sheet1!$D47,Customers!$A$1:$D$51,2,TRUE)</f>
        <v>27</v>
      </c>
      <c r="G47" s="3" t="str">
        <f>VLOOKUP(Sheet1!$D47,Customers!$A$1:$D$51,3,TRUE)</f>
        <v>Male</v>
      </c>
      <c r="H47" s="3" t="str">
        <f>VLOOKUP(Sheet1!$D47,Customers!$A$1:$D$51,4,TRUE)</f>
        <v>Chandigarh</v>
      </c>
      <c r="I47" s="3" t="str">
        <f>VLOOKUP($C47,Products!$A$1:$E$21,2,TRUE)</f>
        <v>Charger</v>
      </c>
      <c r="J47" s="3" t="str">
        <f>VLOOKUP($C47,Products!$A$1:$E$21,3,TRUE)</f>
        <v>Accessories</v>
      </c>
      <c r="K47" s="4">
        <f>VLOOKUP($C47,Products!$A$1:$E$21,4,TRUE)</f>
        <v>160</v>
      </c>
      <c r="L47" s="4">
        <f>VLOOKUP($C47,Products!$A$1:$E$21,5,TRUE)</f>
        <v>230</v>
      </c>
      <c r="M47" s="4">
        <f t="shared" si="0"/>
        <v>480</v>
      </c>
      <c r="N47" s="4">
        <f t="shared" si="1"/>
        <v>690</v>
      </c>
      <c r="O47" s="4">
        <f t="shared" si="2"/>
        <v>210</v>
      </c>
      <c r="P47" s="5">
        <f t="shared" si="3"/>
        <v>0.30434782608695654</v>
      </c>
      <c r="Q47" s="3" t="str">
        <f t="shared" si="4"/>
        <v>Low_order</v>
      </c>
      <c r="R47" s="3" t="str">
        <f t="shared" si="5"/>
        <v>Young</v>
      </c>
      <c r="S47" s="11" t="str">
        <f t="shared" si="6"/>
        <v>Low_profit</v>
      </c>
      <c r="T47" s="13" t="str">
        <f t="shared" si="7"/>
        <v>Apr</v>
      </c>
    </row>
    <row r="48" spans="1:20" x14ac:dyDescent="0.3">
      <c r="A48" s="9">
        <v>45433</v>
      </c>
      <c r="B48" s="3">
        <v>3047</v>
      </c>
      <c r="C48" s="3">
        <v>1004</v>
      </c>
      <c r="D48" s="3">
        <v>2014</v>
      </c>
      <c r="E48" s="3">
        <v>1</v>
      </c>
      <c r="F48" s="3">
        <f>VLOOKUP(Sheet1!$D48,Customers!$A$1:$D$51,2,TRUE)</f>
        <v>58</v>
      </c>
      <c r="G48" s="3" t="str">
        <f>VLOOKUP(Sheet1!$D48,Customers!$A$1:$D$51,3,TRUE)</f>
        <v>Female</v>
      </c>
      <c r="H48" s="3" t="str">
        <f>VLOOKUP(Sheet1!$D48,Customers!$A$1:$D$51,4,TRUE)</f>
        <v>Chandigarh</v>
      </c>
      <c r="I48" s="3" t="str">
        <f>VLOOKUP($C48,Products!$A$1:$E$21,2,TRUE)</f>
        <v>Speaker</v>
      </c>
      <c r="J48" s="3" t="str">
        <f>VLOOKUP($C48,Products!$A$1:$E$21,3,TRUE)</f>
        <v>Electronics</v>
      </c>
      <c r="K48" s="4">
        <f>VLOOKUP($C48,Products!$A$1:$E$21,4,TRUE)</f>
        <v>230</v>
      </c>
      <c r="L48" s="4">
        <f>VLOOKUP($C48,Products!$A$1:$E$21,5,TRUE)</f>
        <v>440</v>
      </c>
      <c r="M48" s="4">
        <f t="shared" si="0"/>
        <v>230</v>
      </c>
      <c r="N48" s="4">
        <f t="shared" si="1"/>
        <v>440</v>
      </c>
      <c r="O48" s="4">
        <f t="shared" si="2"/>
        <v>210</v>
      </c>
      <c r="P48" s="5">
        <f t="shared" si="3"/>
        <v>0.47727272727272729</v>
      </c>
      <c r="Q48" s="3" t="str">
        <f t="shared" si="4"/>
        <v>Low_order</v>
      </c>
      <c r="R48" s="3" t="str">
        <f t="shared" si="5"/>
        <v>Senior</v>
      </c>
      <c r="S48" s="11" t="str">
        <f t="shared" si="6"/>
        <v>High_profit</v>
      </c>
      <c r="T48" s="13" t="str">
        <f t="shared" si="7"/>
        <v>May</v>
      </c>
    </row>
    <row r="49" spans="1:20" x14ac:dyDescent="0.3">
      <c r="A49" s="9">
        <v>45487</v>
      </c>
      <c r="B49" s="3">
        <v>3048</v>
      </c>
      <c r="C49" s="3">
        <v>1006</v>
      </c>
      <c r="D49" s="3">
        <v>2036</v>
      </c>
      <c r="E49" s="3">
        <v>7</v>
      </c>
      <c r="F49" s="3">
        <f>VLOOKUP(Sheet1!$D49,Customers!$A$1:$D$51,2,TRUE)</f>
        <v>30</v>
      </c>
      <c r="G49" s="3" t="str">
        <f>VLOOKUP(Sheet1!$D49,Customers!$A$1:$D$51,3,TRUE)</f>
        <v>Male</v>
      </c>
      <c r="H49" s="3" t="str">
        <f>VLOOKUP(Sheet1!$D49,Customers!$A$1:$D$51,4,TRUE)</f>
        <v>Delhi</v>
      </c>
      <c r="I49" s="3" t="str">
        <f>VLOOKUP($C49,Products!$A$1:$E$21,2,TRUE)</f>
        <v>Phone Case</v>
      </c>
      <c r="J49" s="3" t="str">
        <f>VLOOKUP($C49,Products!$A$1:$E$21,3,TRUE)</f>
        <v>Accessories</v>
      </c>
      <c r="K49" s="4">
        <f>VLOOKUP($C49,Products!$A$1:$E$21,4,TRUE)</f>
        <v>320</v>
      </c>
      <c r="L49" s="4">
        <f>VLOOKUP($C49,Products!$A$1:$E$21,5,TRUE)</f>
        <v>430</v>
      </c>
      <c r="M49" s="4">
        <f t="shared" si="0"/>
        <v>2240</v>
      </c>
      <c r="N49" s="4">
        <f t="shared" si="1"/>
        <v>3010</v>
      </c>
      <c r="O49" s="4">
        <f t="shared" si="2"/>
        <v>770</v>
      </c>
      <c r="P49" s="5">
        <f t="shared" si="3"/>
        <v>0.2558139534883721</v>
      </c>
      <c r="Q49" s="3" t="str">
        <f t="shared" si="4"/>
        <v>High_order</v>
      </c>
      <c r="R49" s="3" t="str">
        <f t="shared" si="5"/>
        <v>Young</v>
      </c>
      <c r="S49" s="11" t="str">
        <f t="shared" si="6"/>
        <v>Low_profit</v>
      </c>
      <c r="T49" s="13" t="str">
        <f t="shared" si="7"/>
        <v>Jul</v>
      </c>
    </row>
    <row r="50" spans="1:20" x14ac:dyDescent="0.3">
      <c r="A50" s="9">
        <v>45551</v>
      </c>
      <c r="B50" s="3">
        <v>3049</v>
      </c>
      <c r="C50" s="3">
        <v>1002</v>
      </c>
      <c r="D50" s="3">
        <v>2049</v>
      </c>
      <c r="E50" s="3">
        <v>6</v>
      </c>
      <c r="F50" s="3">
        <f>VLOOKUP(Sheet1!$D50,Customers!$A$1:$D$51,2,TRUE)</f>
        <v>44</v>
      </c>
      <c r="G50" s="3" t="str">
        <f>VLOOKUP(Sheet1!$D50,Customers!$A$1:$D$51,3,TRUE)</f>
        <v>Female</v>
      </c>
      <c r="H50" s="3" t="str">
        <f>VLOOKUP(Sheet1!$D50,Customers!$A$1:$D$51,4,TRUE)</f>
        <v>Delhi</v>
      </c>
      <c r="I50" s="3" t="str">
        <f>VLOOKUP($C50,Products!$A$1:$E$21,2,TRUE)</f>
        <v>Keyboard</v>
      </c>
      <c r="J50" s="3" t="str">
        <f>VLOOKUP($C50,Products!$A$1:$E$21,3,TRUE)</f>
        <v>Electronics</v>
      </c>
      <c r="K50" s="4">
        <f>VLOOKUP($C50,Products!$A$1:$E$21,4,TRUE)</f>
        <v>230</v>
      </c>
      <c r="L50" s="4">
        <f>VLOOKUP($C50,Products!$A$1:$E$21,5,TRUE)</f>
        <v>400</v>
      </c>
      <c r="M50" s="4">
        <f t="shared" si="0"/>
        <v>1380</v>
      </c>
      <c r="N50" s="4">
        <f t="shared" si="1"/>
        <v>2400</v>
      </c>
      <c r="O50" s="4">
        <f t="shared" si="2"/>
        <v>1020</v>
      </c>
      <c r="P50" s="5">
        <f t="shared" si="3"/>
        <v>0.42499999999999999</v>
      </c>
      <c r="Q50" s="3" t="str">
        <f t="shared" si="4"/>
        <v>Medium_order</v>
      </c>
      <c r="R50" s="3" t="str">
        <f t="shared" si="5"/>
        <v>Senior</v>
      </c>
      <c r="S50" s="11" t="str">
        <f t="shared" si="6"/>
        <v>High_profit</v>
      </c>
      <c r="T50" s="13" t="str">
        <f t="shared" si="7"/>
        <v>Sep</v>
      </c>
    </row>
    <row r="51" spans="1:20" x14ac:dyDescent="0.3">
      <c r="A51" s="9">
        <v>45353</v>
      </c>
      <c r="B51" s="3">
        <v>3050</v>
      </c>
      <c r="C51" s="3">
        <v>1010</v>
      </c>
      <c r="D51" s="3">
        <v>2020</v>
      </c>
      <c r="E51" s="3">
        <v>3</v>
      </c>
      <c r="F51" s="3">
        <f>VLOOKUP(Sheet1!$D51,Customers!$A$1:$D$51,2,TRUE)</f>
        <v>27</v>
      </c>
      <c r="G51" s="3" t="str">
        <f>VLOOKUP(Sheet1!$D51,Customers!$A$1:$D$51,3,TRUE)</f>
        <v>Male</v>
      </c>
      <c r="H51" s="3" t="str">
        <f>VLOOKUP(Sheet1!$D51,Customers!$A$1:$D$51,4,TRUE)</f>
        <v>Chandigarh</v>
      </c>
      <c r="I51" s="3" t="str">
        <f>VLOOKUP($C51,Products!$A$1:$E$21,2,TRUE)</f>
        <v>Laptop Sleeve</v>
      </c>
      <c r="J51" s="3" t="str">
        <f>VLOOKUP($C51,Products!$A$1:$E$21,3,TRUE)</f>
        <v>Accessories</v>
      </c>
      <c r="K51" s="4">
        <f>VLOOKUP($C51,Products!$A$1:$E$21,4,TRUE)</f>
        <v>290</v>
      </c>
      <c r="L51" s="4">
        <f>VLOOKUP($C51,Products!$A$1:$E$21,5,TRUE)</f>
        <v>470</v>
      </c>
      <c r="M51" s="4">
        <f t="shared" si="0"/>
        <v>870</v>
      </c>
      <c r="N51" s="4">
        <f t="shared" si="1"/>
        <v>1410</v>
      </c>
      <c r="O51" s="4">
        <f t="shared" si="2"/>
        <v>540</v>
      </c>
      <c r="P51" s="5">
        <f t="shared" si="3"/>
        <v>0.38297872340425532</v>
      </c>
      <c r="Q51" s="3" t="str">
        <f t="shared" si="4"/>
        <v>Medium_order</v>
      </c>
      <c r="R51" s="3" t="str">
        <f t="shared" si="5"/>
        <v>Young</v>
      </c>
      <c r="S51" s="11" t="str">
        <f t="shared" si="6"/>
        <v>Medium_profit</v>
      </c>
      <c r="T51" s="13" t="str">
        <f t="shared" si="7"/>
        <v>Mar</v>
      </c>
    </row>
    <row r="52" spans="1:20" x14ac:dyDescent="0.3">
      <c r="A52" s="9">
        <v>45459</v>
      </c>
      <c r="B52" s="3">
        <v>3051</v>
      </c>
      <c r="C52" s="3">
        <v>1015</v>
      </c>
      <c r="D52" s="3">
        <v>2006</v>
      </c>
      <c r="E52" s="3">
        <v>1</v>
      </c>
      <c r="F52" s="3">
        <f>VLOOKUP(Sheet1!$D52,Customers!$A$1:$D$51,2,TRUE)</f>
        <v>32</v>
      </c>
      <c r="G52" s="3" t="str">
        <f>VLOOKUP(Sheet1!$D52,Customers!$A$1:$D$51,3,TRUE)</f>
        <v>Male</v>
      </c>
      <c r="H52" s="3" t="str">
        <f>VLOOKUP(Sheet1!$D52,Customers!$A$1:$D$51,4,TRUE)</f>
        <v>Hyderabad</v>
      </c>
      <c r="I52" s="3" t="str">
        <f>VLOOKUP($C52,Products!$A$1:$E$21,2,TRUE)</f>
        <v>Organizer</v>
      </c>
      <c r="J52" s="3" t="str">
        <f>VLOOKUP($C52,Products!$A$1:$E$21,3,TRUE)</f>
        <v>Office</v>
      </c>
      <c r="K52" s="4">
        <f>VLOOKUP($C52,Products!$A$1:$E$21,4,TRUE)</f>
        <v>70</v>
      </c>
      <c r="L52" s="4">
        <f>VLOOKUP($C52,Products!$A$1:$E$21,5,TRUE)</f>
        <v>210</v>
      </c>
      <c r="M52" s="4">
        <f t="shared" si="0"/>
        <v>70</v>
      </c>
      <c r="N52" s="4">
        <f t="shared" si="1"/>
        <v>210</v>
      </c>
      <c r="O52" s="4">
        <f t="shared" si="2"/>
        <v>140</v>
      </c>
      <c r="P52" s="5">
        <f t="shared" si="3"/>
        <v>0.66666666666666663</v>
      </c>
      <c r="Q52" s="3" t="str">
        <f t="shared" si="4"/>
        <v>Low_order</v>
      </c>
      <c r="R52" s="3" t="str">
        <f t="shared" si="5"/>
        <v>Middle_age</v>
      </c>
      <c r="S52" s="11" t="str">
        <f t="shared" si="6"/>
        <v>High_profit</v>
      </c>
      <c r="T52" s="13" t="str">
        <f t="shared" si="7"/>
        <v>Jun</v>
      </c>
    </row>
    <row r="53" spans="1:20" x14ac:dyDescent="0.3">
      <c r="A53" s="9">
        <v>45653</v>
      </c>
      <c r="B53" s="3">
        <v>3052</v>
      </c>
      <c r="C53" s="3">
        <v>1018</v>
      </c>
      <c r="D53" s="3">
        <v>2016</v>
      </c>
      <c r="E53" s="3">
        <v>8</v>
      </c>
      <c r="F53" s="3">
        <f>VLOOKUP(Sheet1!$D53,Customers!$A$1:$D$51,2,TRUE)</f>
        <v>29</v>
      </c>
      <c r="G53" s="3" t="str">
        <f>VLOOKUP(Sheet1!$D53,Customers!$A$1:$D$51,3,TRUE)</f>
        <v>Female</v>
      </c>
      <c r="H53" s="3" t="str">
        <f>VLOOKUP(Sheet1!$D53,Customers!$A$1:$D$51,4,TRUE)</f>
        <v>Chandigarh</v>
      </c>
      <c r="I53" s="3" t="str">
        <f>VLOOKUP($C53,Products!$A$1:$E$21,2,TRUE)</f>
        <v>Resistance Band</v>
      </c>
      <c r="J53" s="3" t="str">
        <f>VLOOKUP($C53,Products!$A$1:$E$21,3,TRUE)</f>
        <v>Fitness</v>
      </c>
      <c r="K53" s="4">
        <f>VLOOKUP($C53,Products!$A$1:$E$21,4,TRUE)</f>
        <v>310</v>
      </c>
      <c r="L53" s="4">
        <f>VLOOKUP($C53,Products!$A$1:$E$21,5,TRUE)</f>
        <v>480</v>
      </c>
      <c r="M53" s="4">
        <f t="shared" si="0"/>
        <v>2480</v>
      </c>
      <c r="N53" s="4">
        <f t="shared" si="1"/>
        <v>3840</v>
      </c>
      <c r="O53" s="4">
        <f t="shared" si="2"/>
        <v>1360</v>
      </c>
      <c r="P53" s="5">
        <f t="shared" si="3"/>
        <v>0.35416666666666669</v>
      </c>
      <c r="Q53" s="3" t="str">
        <f t="shared" si="4"/>
        <v>High_order</v>
      </c>
      <c r="R53" s="3" t="str">
        <f t="shared" si="5"/>
        <v>Young</v>
      </c>
      <c r="S53" s="11" t="str">
        <f t="shared" si="6"/>
        <v>Medium_profit</v>
      </c>
      <c r="T53" s="13" t="str">
        <f t="shared" si="7"/>
        <v>Dec</v>
      </c>
    </row>
    <row r="54" spans="1:20" x14ac:dyDescent="0.3">
      <c r="A54" s="9">
        <v>45641</v>
      </c>
      <c r="B54" s="3">
        <v>3053</v>
      </c>
      <c r="C54" s="3">
        <v>1011</v>
      </c>
      <c r="D54" s="3">
        <v>2019</v>
      </c>
      <c r="E54" s="3">
        <v>5</v>
      </c>
      <c r="F54" s="3">
        <f>VLOOKUP(Sheet1!$D54,Customers!$A$1:$D$51,2,TRUE)</f>
        <v>57</v>
      </c>
      <c r="G54" s="3" t="str">
        <f>VLOOKUP(Sheet1!$D54,Customers!$A$1:$D$51,3,TRUE)</f>
        <v>Male</v>
      </c>
      <c r="H54" s="3" t="str">
        <f>VLOOKUP(Sheet1!$D54,Customers!$A$1:$D$51,4,TRUE)</f>
        <v>Chandigarh</v>
      </c>
      <c r="I54" s="3" t="str">
        <f>VLOOKUP($C54,Products!$A$1:$E$21,2,TRUE)</f>
        <v>Notebook</v>
      </c>
      <c r="J54" s="3" t="str">
        <f>VLOOKUP($C54,Products!$A$1:$E$21,3,TRUE)</f>
        <v>Office</v>
      </c>
      <c r="K54" s="4">
        <f>VLOOKUP($C54,Products!$A$1:$E$21,4,TRUE)</f>
        <v>120</v>
      </c>
      <c r="L54" s="4">
        <f>VLOOKUP($C54,Products!$A$1:$E$21,5,TRUE)</f>
        <v>180</v>
      </c>
      <c r="M54" s="4">
        <f t="shared" si="0"/>
        <v>600</v>
      </c>
      <c r="N54" s="4">
        <f t="shared" si="1"/>
        <v>900</v>
      </c>
      <c r="O54" s="4">
        <f t="shared" si="2"/>
        <v>300</v>
      </c>
      <c r="P54" s="5">
        <f t="shared" si="3"/>
        <v>0.33333333333333331</v>
      </c>
      <c r="Q54" s="3" t="str">
        <f t="shared" si="4"/>
        <v>Low_order</v>
      </c>
      <c r="R54" s="3" t="str">
        <f t="shared" si="5"/>
        <v>Senior</v>
      </c>
      <c r="S54" s="11" t="str">
        <f t="shared" si="6"/>
        <v>Medium_profit</v>
      </c>
      <c r="T54" s="13" t="str">
        <f t="shared" si="7"/>
        <v>Dec</v>
      </c>
    </row>
    <row r="55" spans="1:20" x14ac:dyDescent="0.3">
      <c r="A55" s="9">
        <v>45324</v>
      </c>
      <c r="B55" s="3">
        <v>3054</v>
      </c>
      <c r="C55" s="3">
        <v>1017</v>
      </c>
      <c r="D55" s="3">
        <v>2041</v>
      </c>
      <c r="E55" s="3">
        <v>2</v>
      </c>
      <c r="F55" s="3">
        <f>VLOOKUP(Sheet1!$D55,Customers!$A$1:$D$51,2,TRUE)</f>
        <v>28</v>
      </c>
      <c r="G55" s="3" t="str">
        <f>VLOOKUP(Sheet1!$D55,Customers!$A$1:$D$51,3,TRUE)</f>
        <v>Male</v>
      </c>
      <c r="H55" s="3" t="str">
        <f>VLOOKUP(Sheet1!$D55,Customers!$A$1:$D$51,4,TRUE)</f>
        <v>Pune</v>
      </c>
      <c r="I55" s="3" t="str">
        <f>VLOOKUP($C55,Products!$A$1:$E$21,2,TRUE)</f>
        <v>Dumbbells</v>
      </c>
      <c r="J55" s="3" t="str">
        <f>VLOOKUP($C55,Products!$A$1:$E$21,3,TRUE)</f>
        <v>Fitness</v>
      </c>
      <c r="K55" s="4">
        <f>VLOOKUP($C55,Products!$A$1:$E$21,4,TRUE)</f>
        <v>120</v>
      </c>
      <c r="L55" s="4">
        <f>VLOOKUP($C55,Products!$A$1:$E$21,5,TRUE)</f>
        <v>200</v>
      </c>
      <c r="M55" s="4">
        <f t="shared" si="0"/>
        <v>240</v>
      </c>
      <c r="N55" s="4">
        <f t="shared" si="1"/>
        <v>400</v>
      </c>
      <c r="O55" s="4">
        <f t="shared" si="2"/>
        <v>160</v>
      </c>
      <c r="P55" s="5">
        <f t="shared" si="3"/>
        <v>0.4</v>
      </c>
      <c r="Q55" s="3" t="str">
        <f t="shared" si="4"/>
        <v>Low_order</v>
      </c>
      <c r="R55" s="3" t="str">
        <f t="shared" si="5"/>
        <v>Young</v>
      </c>
      <c r="S55" s="11" t="str">
        <f t="shared" si="6"/>
        <v>Medium_profit</v>
      </c>
      <c r="T55" s="13" t="str">
        <f t="shared" si="7"/>
        <v>Feb</v>
      </c>
    </row>
    <row r="56" spans="1:20" x14ac:dyDescent="0.3">
      <c r="A56" s="9">
        <v>45420</v>
      </c>
      <c r="B56" s="3">
        <v>3055</v>
      </c>
      <c r="C56" s="3">
        <v>1001</v>
      </c>
      <c r="D56" s="3">
        <v>2047</v>
      </c>
      <c r="E56" s="3">
        <v>5</v>
      </c>
      <c r="F56" s="3">
        <f>VLOOKUP(Sheet1!$D56,Customers!$A$1:$D$51,2,TRUE)</f>
        <v>28</v>
      </c>
      <c r="G56" s="3" t="str">
        <f>VLOOKUP(Sheet1!$D56,Customers!$A$1:$D$51,3,TRUE)</f>
        <v>Male</v>
      </c>
      <c r="H56" s="3" t="str">
        <f>VLOOKUP(Sheet1!$D56,Customers!$A$1:$D$51,4,TRUE)</f>
        <v>Chandigarh</v>
      </c>
      <c r="I56" s="3" t="str">
        <f>VLOOKUP($C56,Products!$A$1:$E$21,2,TRUE)</f>
        <v>Headphones</v>
      </c>
      <c r="J56" s="3" t="str">
        <f>VLOOKUP($C56,Products!$A$1:$E$21,3,TRUE)</f>
        <v>Electronics</v>
      </c>
      <c r="K56" s="4">
        <f>VLOOKUP($C56,Products!$A$1:$E$21,4,TRUE)</f>
        <v>380</v>
      </c>
      <c r="L56" s="4">
        <f>VLOOKUP($C56,Products!$A$1:$E$21,5,TRUE)</f>
        <v>550</v>
      </c>
      <c r="M56" s="4">
        <f t="shared" si="0"/>
        <v>1900</v>
      </c>
      <c r="N56" s="4">
        <f t="shared" si="1"/>
        <v>2750</v>
      </c>
      <c r="O56" s="4">
        <f t="shared" si="2"/>
        <v>850</v>
      </c>
      <c r="P56" s="5">
        <f t="shared" si="3"/>
        <v>0.30909090909090908</v>
      </c>
      <c r="Q56" s="3" t="str">
        <f t="shared" si="4"/>
        <v>High_order</v>
      </c>
      <c r="R56" s="3" t="str">
        <f t="shared" si="5"/>
        <v>Young</v>
      </c>
      <c r="S56" s="11" t="str">
        <f t="shared" si="6"/>
        <v>Low_profit</v>
      </c>
      <c r="T56" s="13" t="str">
        <f t="shared" si="7"/>
        <v>May</v>
      </c>
    </row>
    <row r="57" spans="1:20" x14ac:dyDescent="0.3">
      <c r="A57" s="9">
        <v>45581</v>
      </c>
      <c r="B57" s="3">
        <v>3056</v>
      </c>
      <c r="C57" s="3">
        <v>1013</v>
      </c>
      <c r="D57" s="3">
        <v>2006</v>
      </c>
      <c r="E57" s="3">
        <v>4</v>
      </c>
      <c r="F57" s="3">
        <f>VLOOKUP(Sheet1!$D57,Customers!$A$1:$D$51,2,TRUE)</f>
        <v>32</v>
      </c>
      <c r="G57" s="3" t="str">
        <f>VLOOKUP(Sheet1!$D57,Customers!$A$1:$D$51,3,TRUE)</f>
        <v>Male</v>
      </c>
      <c r="H57" s="3" t="str">
        <f>VLOOKUP(Sheet1!$D57,Customers!$A$1:$D$51,4,TRUE)</f>
        <v>Hyderabad</v>
      </c>
      <c r="I57" s="3" t="str">
        <f>VLOOKUP($C57,Products!$A$1:$E$21,2,TRUE)</f>
        <v>Desk Lamp</v>
      </c>
      <c r="J57" s="3" t="str">
        <f>VLOOKUP($C57,Products!$A$1:$E$21,3,TRUE)</f>
        <v>Office</v>
      </c>
      <c r="K57" s="4">
        <f>VLOOKUP($C57,Products!$A$1:$E$21,4,TRUE)</f>
        <v>140</v>
      </c>
      <c r="L57" s="4">
        <f>VLOOKUP($C57,Products!$A$1:$E$21,5,TRUE)</f>
        <v>390</v>
      </c>
      <c r="M57" s="4">
        <f t="shared" si="0"/>
        <v>560</v>
      </c>
      <c r="N57" s="4">
        <f t="shared" si="1"/>
        <v>1560</v>
      </c>
      <c r="O57" s="4">
        <f t="shared" si="2"/>
        <v>1000</v>
      </c>
      <c r="P57" s="5">
        <f t="shared" si="3"/>
        <v>0.64102564102564108</v>
      </c>
      <c r="Q57" s="3" t="str">
        <f t="shared" si="4"/>
        <v>Medium_order</v>
      </c>
      <c r="R57" s="3" t="str">
        <f t="shared" si="5"/>
        <v>Middle_age</v>
      </c>
      <c r="S57" s="11" t="str">
        <f t="shared" si="6"/>
        <v>High_profit</v>
      </c>
      <c r="T57" s="13" t="str">
        <f t="shared" si="7"/>
        <v>Oct</v>
      </c>
    </row>
    <row r="58" spans="1:20" x14ac:dyDescent="0.3">
      <c r="A58" s="9">
        <v>45377</v>
      </c>
      <c r="B58" s="3">
        <v>3057</v>
      </c>
      <c r="C58" s="3">
        <v>1020</v>
      </c>
      <c r="D58" s="3">
        <v>2030</v>
      </c>
      <c r="E58" s="3">
        <v>1</v>
      </c>
      <c r="F58" s="3">
        <f>VLOOKUP(Sheet1!$D58,Customers!$A$1:$D$51,2,TRUE)</f>
        <v>46</v>
      </c>
      <c r="G58" s="3" t="str">
        <f>VLOOKUP(Sheet1!$D58,Customers!$A$1:$D$51,3,TRUE)</f>
        <v>Female</v>
      </c>
      <c r="H58" s="3" t="str">
        <f>VLOOKUP(Sheet1!$D58,Customers!$A$1:$D$51,4,TRUE)</f>
        <v>Bangalore</v>
      </c>
      <c r="I58" s="3" t="str">
        <f>VLOOKUP($C58,Products!$A$1:$E$21,2,TRUE)</f>
        <v>Water Bottle</v>
      </c>
      <c r="J58" s="3" t="str">
        <f>VLOOKUP($C58,Products!$A$1:$E$21,3,TRUE)</f>
        <v>Fitness</v>
      </c>
      <c r="K58" s="4">
        <f>VLOOKUP($C58,Products!$A$1:$E$21,4,TRUE)</f>
        <v>400</v>
      </c>
      <c r="L58" s="4">
        <f>VLOOKUP($C58,Products!$A$1:$E$21,5,TRUE)</f>
        <v>560</v>
      </c>
      <c r="M58" s="4">
        <f t="shared" si="0"/>
        <v>400</v>
      </c>
      <c r="N58" s="4">
        <f t="shared" si="1"/>
        <v>560</v>
      </c>
      <c r="O58" s="4">
        <f t="shared" si="2"/>
        <v>160</v>
      </c>
      <c r="P58" s="5">
        <f t="shared" si="3"/>
        <v>0.2857142857142857</v>
      </c>
      <c r="Q58" s="3" t="str">
        <f t="shared" si="4"/>
        <v>Low_order</v>
      </c>
      <c r="R58" s="3" t="str">
        <f t="shared" si="5"/>
        <v>Senior</v>
      </c>
      <c r="S58" s="11" t="str">
        <f t="shared" si="6"/>
        <v>Low_profit</v>
      </c>
      <c r="T58" s="13" t="str">
        <f t="shared" si="7"/>
        <v>Mar</v>
      </c>
    </row>
    <row r="59" spans="1:20" x14ac:dyDescent="0.3">
      <c r="A59" s="9">
        <v>45352</v>
      </c>
      <c r="B59" s="3">
        <v>3058</v>
      </c>
      <c r="C59" s="3">
        <v>1007</v>
      </c>
      <c r="D59" s="3">
        <v>2002</v>
      </c>
      <c r="E59" s="3">
        <v>6</v>
      </c>
      <c r="F59" s="3">
        <f>VLOOKUP(Sheet1!$D59,Customers!$A$1:$D$51,2,TRUE)</f>
        <v>33</v>
      </c>
      <c r="G59" s="3" t="str">
        <f>VLOOKUP(Sheet1!$D59,Customers!$A$1:$D$51,3,TRUE)</f>
        <v>Male</v>
      </c>
      <c r="H59" s="3" t="str">
        <f>VLOOKUP(Sheet1!$D59,Customers!$A$1:$D$51,4,TRUE)</f>
        <v>Delhi</v>
      </c>
      <c r="I59" s="3" t="str">
        <f>VLOOKUP($C59,Products!$A$1:$E$21,2,TRUE)</f>
        <v>Charger</v>
      </c>
      <c r="J59" s="3" t="str">
        <f>VLOOKUP($C59,Products!$A$1:$E$21,3,TRUE)</f>
        <v>Accessories</v>
      </c>
      <c r="K59" s="4">
        <f>VLOOKUP($C59,Products!$A$1:$E$21,4,TRUE)</f>
        <v>160</v>
      </c>
      <c r="L59" s="4">
        <f>VLOOKUP($C59,Products!$A$1:$E$21,5,TRUE)</f>
        <v>230</v>
      </c>
      <c r="M59" s="4">
        <f t="shared" si="0"/>
        <v>960</v>
      </c>
      <c r="N59" s="4">
        <f t="shared" si="1"/>
        <v>1380</v>
      </c>
      <c r="O59" s="4">
        <f t="shared" si="2"/>
        <v>420</v>
      </c>
      <c r="P59" s="5">
        <f t="shared" si="3"/>
        <v>0.30434782608695654</v>
      </c>
      <c r="Q59" s="3" t="str">
        <f t="shared" si="4"/>
        <v>Medium_order</v>
      </c>
      <c r="R59" s="3" t="str">
        <f t="shared" si="5"/>
        <v>Middle_age</v>
      </c>
      <c r="S59" s="11" t="str">
        <f t="shared" si="6"/>
        <v>Low_profit</v>
      </c>
      <c r="T59" s="13" t="str">
        <f t="shared" si="7"/>
        <v>Mar</v>
      </c>
    </row>
    <row r="60" spans="1:20" x14ac:dyDescent="0.3">
      <c r="A60" s="9">
        <v>45360</v>
      </c>
      <c r="B60" s="3">
        <v>3059</v>
      </c>
      <c r="C60" s="3">
        <v>1002</v>
      </c>
      <c r="D60" s="3">
        <v>2049</v>
      </c>
      <c r="E60" s="3">
        <v>4</v>
      </c>
      <c r="F60" s="3">
        <f>VLOOKUP(Sheet1!$D60,Customers!$A$1:$D$51,2,TRUE)</f>
        <v>44</v>
      </c>
      <c r="G60" s="3" t="str">
        <f>VLOOKUP(Sheet1!$D60,Customers!$A$1:$D$51,3,TRUE)</f>
        <v>Female</v>
      </c>
      <c r="H60" s="3" t="str">
        <f>VLOOKUP(Sheet1!$D60,Customers!$A$1:$D$51,4,TRUE)</f>
        <v>Delhi</v>
      </c>
      <c r="I60" s="3" t="str">
        <f>VLOOKUP($C60,Products!$A$1:$E$21,2,TRUE)</f>
        <v>Keyboard</v>
      </c>
      <c r="J60" s="3" t="str">
        <f>VLOOKUP($C60,Products!$A$1:$E$21,3,TRUE)</f>
        <v>Electronics</v>
      </c>
      <c r="K60" s="4">
        <f>VLOOKUP($C60,Products!$A$1:$E$21,4,TRUE)</f>
        <v>230</v>
      </c>
      <c r="L60" s="4">
        <f>VLOOKUP($C60,Products!$A$1:$E$21,5,TRUE)</f>
        <v>400</v>
      </c>
      <c r="M60" s="4">
        <f t="shared" si="0"/>
        <v>920</v>
      </c>
      <c r="N60" s="4">
        <f t="shared" si="1"/>
        <v>1600</v>
      </c>
      <c r="O60" s="4">
        <f t="shared" si="2"/>
        <v>680</v>
      </c>
      <c r="P60" s="5">
        <f t="shared" si="3"/>
        <v>0.42499999999999999</v>
      </c>
      <c r="Q60" s="3" t="str">
        <f t="shared" si="4"/>
        <v>Medium_order</v>
      </c>
      <c r="R60" s="3" t="str">
        <f t="shared" si="5"/>
        <v>Senior</v>
      </c>
      <c r="S60" s="11" t="str">
        <f t="shared" si="6"/>
        <v>High_profit</v>
      </c>
      <c r="T60" s="13" t="str">
        <f t="shared" si="7"/>
        <v>Mar</v>
      </c>
    </row>
    <row r="61" spans="1:20" x14ac:dyDescent="0.3">
      <c r="A61" s="9">
        <v>45346</v>
      </c>
      <c r="B61" s="3">
        <v>3060</v>
      </c>
      <c r="C61" s="3">
        <v>1019</v>
      </c>
      <c r="D61" s="3">
        <v>2034</v>
      </c>
      <c r="E61" s="3">
        <v>10</v>
      </c>
      <c r="F61" s="3">
        <f>VLOOKUP(Sheet1!$D61,Customers!$A$1:$D$51,2,TRUE)</f>
        <v>48</v>
      </c>
      <c r="G61" s="3" t="str">
        <f>VLOOKUP(Sheet1!$D61,Customers!$A$1:$D$51,3,TRUE)</f>
        <v>Female</v>
      </c>
      <c r="H61" s="3" t="str">
        <f>VLOOKUP(Sheet1!$D61,Customers!$A$1:$D$51,4,TRUE)</f>
        <v>Pune</v>
      </c>
      <c r="I61" s="3" t="str">
        <f>VLOOKUP($C61,Products!$A$1:$E$21,2,TRUE)</f>
        <v>Skipping Rope</v>
      </c>
      <c r="J61" s="3" t="str">
        <f>VLOOKUP($C61,Products!$A$1:$E$21,3,TRUE)</f>
        <v>Fitness</v>
      </c>
      <c r="K61" s="4">
        <f>VLOOKUP($C61,Products!$A$1:$E$21,4,TRUE)</f>
        <v>140</v>
      </c>
      <c r="L61" s="4">
        <f>VLOOKUP($C61,Products!$A$1:$E$21,5,TRUE)</f>
        <v>270</v>
      </c>
      <c r="M61" s="4">
        <f t="shared" si="0"/>
        <v>1400</v>
      </c>
      <c r="N61" s="4">
        <f t="shared" si="1"/>
        <v>2700</v>
      </c>
      <c r="O61" s="4">
        <f t="shared" si="2"/>
        <v>1300</v>
      </c>
      <c r="P61" s="5">
        <f t="shared" si="3"/>
        <v>0.48148148148148145</v>
      </c>
      <c r="Q61" s="3" t="str">
        <f t="shared" si="4"/>
        <v>High_order</v>
      </c>
      <c r="R61" s="3" t="str">
        <f t="shared" si="5"/>
        <v>Senior</v>
      </c>
      <c r="S61" s="11" t="str">
        <f t="shared" si="6"/>
        <v>High_profit</v>
      </c>
      <c r="T61" s="13" t="str">
        <f t="shared" si="7"/>
        <v>Feb</v>
      </c>
    </row>
    <row r="62" spans="1:20" x14ac:dyDescent="0.3">
      <c r="A62" s="9">
        <v>45573</v>
      </c>
      <c r="B62" s="3">
        <v>3061</v>
      </c>
      <c r="C62" s="3">
        <v>1012</v>
      </c>
      <c r="D62" s="3">
        <v>2004</v>
      </c>
      <c r="E62" s="3">
        <v>3</v>
      </c>
      <c r="F62" s="3">
        <f>VLOOKUP(Sheet1!$D62,Customers!$A$1:$D$51,2,TRUE)</f>
        <v>25</v>
      </c>
      <c r="G62" s="3" t="str">
        <f>VLOOKUP(Sheet1!$D62,Customers!$A$1:$D$51,3,TRUE)</f>
        <v>Male</v>
      </c>
      <c r="H62" s="3" t="str">
        <f>VLOOKUP(Sheet1!$D62,Customers!$A$1:$D$51,4,TRUE)</f>
        <v>Pune</v>
      </c>
      <c r="I62" s="3" t="str">
        <f>VLOOKUP($C62,Products!$A$1:$E$21,2,TRUE)</f>
        <v>Pen Set</v>
      </c>
      <c r="J62" s="3" t="str">
        <f>VLOOKUP($C62,Products!$A$1:$E$21,3,TRUE)</f>
        <v>Office</v>
      </c>
      <c r="K62" s="4">
        <f>VLOOKUP($C62,Products!$A$1:$E$21,4,TRUE)</f>
        <v>380</v>
      </c>
      <c r="L62" s="4">
        <f>VLOOKUP($C62,Products!$A$1:$E$21,5,TRUE)</f>
        <v>510</v>
      </c>
      <c r="M62" s="4">
        <f t="shared" si="0"/>
        <v>1140</v>
      </c>
      <c r="N62" s="4">
        <f t="shared" si="1"/>
        <v>1530</v>
      </c>
      <c r="O62" s="4">
        <f t="shared" si="2"/>
        <v>390</v>
      </c>
      <c r="P62" s="5">
        <f t="shared" si="3"/>
        <v>0.25490196078431371</v>
      </c>
      <c r="Q62" s="3" t="str">
        <f t="shared" si="4"/>
        <v>Medium_order</v>
      </c>
      <c r="R62" s="3" t="str">
        <f t="shared" si="5"/>
        <v>Young</v>
      </c>
      <c r="S62" s="11" t="str">
        <f t="shared" si="6"/>
        <v>Low_profit</v>
      </c>
      <c r="T62" s="13" t="str">
        <f t="shared" si="7"/>
        <v>Oct</v>
      </c>
    </row>
    <row r="63" spans="1:20" x14ac:dyDescent="0.3">
      <c r="A63" s="9">
        <v>45465</v>
      </c>
      <c r="B63" s="3">
        <v>3062</v>
      </c>
      <c r="C63" s="3">
        <v>1005</v>
      </c>
      <c r="D63" s="3">
        <v>2036</v>
      </c>
      <c r="E63" s="3">
        <v>7</v>
      </c>
      <c r="F63" s="3">
        <f>VLOOKUP(Sheet1!$D63,Customers!$A$1:$D$51,2,TRUE)</f>
        <v>30</v>
      </c>
      <c r="G63" s="3" t="str">
        <f>VLOOKUP(Sheet1!$D63,Customers!$A$1:$D$51,3,TRUE)</f>
        <v>Male</v>
      </c>
      <c r="H63" s="3" t="str">
        <f>VLOOKUP(Sheet1!$D63,Customers!$A$1:$D$51,4,TRUE)</f>
        <v>Delhi</v>
      </c>
      <c r="I63" s="3" t="str">
        <f>VLOOKUP($C63,Products!$A$1:$E$21,2,TRUE)</f>
        <v>Webcam</v>
      </c>
      <c r="J63" s="3" t="str">
        <f>VLOOKUP($C63,Products!$A$1:$E$21,3,TRUE)</f>
        <v>Electronics</v>
      </c>
      <c r="K63" s="4">
        <f>VLOOKUP($C63,Products!$A$1:$E$21,4,TRUE)</f>
        <v>340</v>
      </c>
      <c r="L63" s="4">
        <f>VLOOKUP($C63,Products!$A$1:$E$21,5,TRUE)</f>
        <v>520</v>
      </c>
      <c r="M63" s="4">
        <f t="shared" si="0"/>
        <v>2380</v>
      </c>
      <c r="N63" s="4">
        <f t="shared" si="1"/>
        <v>3640</v>
      </c>
      <c r="O63" s="4">
        <f t="shared" si="2"/>
        <v>1260</v>
      </c>
      <c r="P63" s="5">
        <f t="shared" si="3"/>
        <v>0.34615384615384615</v>
      </c>
      <c r="Q63" s="3" t="str">
        <f t="shared" si="4"/>
        <v>High_order</v>
      </c>
      <c r="R63" s="3" t="str">
        <f t="shared" si="5"/>
        <v>Young</v>
      </c>
      <c r="S63" s="11" t="str">
        <f t="shared" si="6"/>
        <v>Medium_profit</v>
      </c>
      <c r="T63" s="13" t="str">
        <f t="shared" si="7"/>
        <v>Jun</v>
      </c>
    </row>
    <row r="64" spans="1:20" x14ac:dyDescent="0.3">
      <c r="A64" s="9">
        <v>45548</v>
      </c>
      <c r="B64" s="3">
        <v>3063</v>
      </c>
      <c r="C64" s="3">
        <v>1002</v>
      </c>
      <c r="D64" s="3">
        <v>2031</v>
      </c>
      <c r="E64" s="3">
        <v>6</v>
      </c>
      <c r="F64" s="3">
        <f>VLOOKUP(Sheet1!$D64,Customers!$A$1:$D$51,2,TRUE)</f>
        <v>38</v>
      </c>
      <c r="G64" s="3" t="str">
        <f>VLOOKUP(Sheet1!$D64,Customers!$A$1:$D$51,3,TRUE)</f>
        <v>Male</v>
      </c>
      <c r="H64" s="3" t="str">
        <f>VLOOKUP(Sheet1!$D64,Customers!$A$1:$D$51,4,TRUE)</f>
        <v>Bangalore</v>
      </c>
      <c r="I64" s="3" t="str">
        <f>VLOOKUP($C64,Products!$A$1:$E$21,2,TRUE)</f>
        <v>Keyboard</v>
      </c>
      <c r="J64" s="3" t="str">
        <f>VLOOKUP($C64,Products!$A$1:$E$21,3,TRUE)</f>
        <v>Electronics</v>
      </c>
      <c r="K64" s="4">
        <f>VLOOKUP($C64,Products!$A$1:$E$21,4,TRUE)</f>
        <v>230</v>
      </c>
      <c r="L64" s="4">
        <f>VLOOKUP($C64,Products!$A$1:$E$21,5,TRUE)</f>
        <v>400</v>
      </c>
      <c r="M64" s="4">
        <f t="shared" si="0"/>
        <v>1380</v>
      </c>
      <c r="N64" s="4">
        <f t="shared" si="1"/>
        <v>2400</v>
      </c>
      <c r="O64" s="4">
        <f t="shared" si="2"/>
        <v>1020</v>
      </c>
      <c r="P64" s="5">
        <f t="shared" si="3"/>
        <v>0.42499999999999999</v>
      </c>
      <c r="Q64" s="3" t="str">
        <f t="shared" si="4"/>
        <v>Medium_order</v>
      </c>
      <c r="R64" s="3" t="str">
        <f t="shared" si="5"/>
        <v>Middle_age</v>
      </c>
      <c r="S64" s="11" t="str">
        <f t="shared" si="6"/>
        <v>High_profit</v>
      </c>
      <c r="T64" s="13" t="str">
        <f t="shared" si="7"/>
        <v>Sep</v>
      </c>
    </row>
    <row r="65" spans="1:20" x14ac:dyDescent="0.3">
      <c r="A65" s="9">
        <v>45374</v>
      </c>
      <c r="B65" s="3">
        <v>3064</v>
      </c>
      <c r="C65" s="3">
        <v>1003</v>
      </c>
      <c r="D65" s="3">
        <v>2032</v>
      </c>
      <c r="E65" s="3">
        <v>3</v>
      </c>
      <c r="F65" s="3">
        <f>VLOOKUP(Sheet1!$D65,Customers!$A$1:$D$51,2,TRUE)</f>
        <v>42</v>
      </c>
      <c r="G65" s="3" t="str">
        <f>VLOOKUP(Sheet1!$D65,Customers!$A$1:$D$51,3,TRUE)</f>
        <v>Male</v>
      </c>
      <c r="H65" s="3" t="str">
        <f>VLOOKUP(Sheet1!$D65,Customers!$A$1:$D$51,4,TRUE)</f>
        <v>Hyderabad</v>
      </c>
      <c r="I65" s="3" t="str">
        <f>VLOOKUP($C65,Products!$A$1:$E$21,2,TRUE)</f>
        <v>Mouse</v>
      </c>
      <c r="J65" s="3" t="str">
        <f>VLOOKUP($C65,Products!$A$1:$E$21,3,TRUE)</f>
        <v>Electronics</v>
      </c>
      <c r="K65" s="4">
        <f>VLOOKUP($C65,Products!$A$1:$E$21,4,TRUE)</f>
        <v>140</v>
      </c>
      <c r="L65" s="4">
        <f>VLOOKUP($C65,Products!$A$1:$E$21,5,TRUE)</f>
        <v>350</v>
      </c>
      <c r="M65" s="4">
        <f t="shared" si="0"/>
        <v>420</v>
      </c>
      <c r="N65" s="4">
        <f t="shared" si="1"/>
        <v>1050</v>
      </c>
      <c r="O65" s="4">
        <f t="shared" si="2"/>
        <v>630</v>
      </c>
      <c r="P65" s="5">
        <f t="shared" si="3"/>
        <v>0.6</v>
      </c>
      <c r="Q65" s="3" t="str">
        <f t="shared" si="4"/>
        <v>Low_order</v>
      </c>
      <c r="R65" s="3" t="str">
        <f t="shared" si="5"/>
        <v>Senior</v>
      </c>
      <c r="S65" s="11" t="str">
        <f t="shared" si="6"/>
        <v>High_profit</v>
      </c>
      <c r="T65" s="13" t="str">
        <f t="shared" si="7"/>
        <v>Mar</v>
      </c>
    </row>
    <row r="66" spans="1:20" x14ac:dyDescent="0.3">
      <c r="A66" s="9">
        <v>45338</v>
      </c>
      <c r="B66" s="3">
        <v>3065</v>
      </c>
      <c r="C66" s="3">
        <v>1015</v>
      </c>
      <c r="D66" s="3">
        <v>2023</v>
      </c>
      <c r="E66" s="3">
        <v>3</v>
      </c>
      <c r="F66" s="3">
        <f>VLOOKUP(Sheet1!$D66,Customers!$A$1:$D$51,2,TRUE)</f>
        <v>41</v>
      </c>
      <c r="G66" s="3" t="str">
        <f>VLOOKUP(Sheet1!$D66,Customers!$A$1:$D$51,3,TRUE)</f>
        <v>Male</v>
      </c>
      <c r="H66" s="3" t="str">
        <f>VLOOKUP(Sheet1!$D66,Customers!$A$1:$D$51,4,TRUE)</f>
        <v>Delhi</v>
      </c>
      <c r="I66" s="3" t="str">
        <f>VLOOKUP($C66,Products!$A$1:$E$21,2,TRUE)</f>
        <v>Organizer</v>
      </c>
      <c r="J66" s="3" t="str">
        <f>VLOOKUP($C66,Products!$A$1:$E$21,3,TRUE)</f>
        <v>Office</v>
      </c>
      <c r="K66" s="4">
        <f>VLOOKUP($C66,Products!$A$1:$E$21,4,TRUE)</f>
        <v>70</v>
      </c>
      <c r="L66" s="4">
        <f>VLOOKUP($C66,Products!$A$1:$E$21,5,TRUE)</f>
        <v>210</v>
      </c>
      <c r="M66" s="4">
        <f t="shared" si="0"/>
        <v>210</v>
      </c>
      <c r="N66" s="4">
        <f t="shared" si="1"/>
        <v>630</v>
      </c>
      <c r="O66" s="4">
        <f t="shared" si="2"/>
        <v>420</v>
      </c>
      <c r="P66" s="5">
        <f t="shared" si="3"/>
        <v>0.66666666666666663</v>
      </c>
      <c r="Q66" s="3" t="str">
        <f t="shared" si="4"/>
        <v>Low_order</v>
      </c>
      <c r="R66" s="3" t="str">
        <f t="shared" si="5"/>
        <v>Senior</v>
      </c>
      <c r="S66" s="11" t="str">
        <f t="shared" si="6"/>
        <v>High_profit</v>
      </c>
      <c r="T66" s="13" t="str">
        <f t="shared" si="7"/>
        <v>Feb</v>
      </c>
    </row>
    <row r="67" spans="1:20" x14ac:dyDescent="0.3">
      <c r="A67" s="9">
        <v>45567</v>
      </c>
      <c r="B67" s="3">
        <v>3066</v>
      </c>
      <c r="C67" s="3">
        <v>1006</v>
      </c>
      <c r="D67" s="3">
        <v>2047</v>
      </c>
      <c r="E67" s="3">
        <v>7</v>
      </c>
      <c r="F67" s="3">
        <f>VLOOKUP(Sheet1!$D67,Customers!$A$1:$D$51,2,TRUE)</f>
        <v>28</v>
      </c>
      <c r="G67" s="3" t="str">
        <f>VLOOKUP(Sheet1!$D67,Customers!$A$1:$D$51,3,TRUE)</f>
        <v>Male</v>
      </c>
      <c r="H67" s="3" t="str">
        <f>VLOOKUP(Sheet1!$D67,Customers!$A$1:$D$51,4,TRUE)</f>
        <v>Chandigarh</v>
      </c>
      <c r="I67" s="3" t="str">
        <f>VLOOKUP($C67,Products!$A$1:$E$21,2,TRUE)</f>
        <v>Phone Case</v>
      </c>
      <c r="J67" s="3" t="str">
        <f>VLOOKUP($C67,Products!$A$1:$E$21,3,TRUE)</f>
        <v>Accessories</v>
      </c>
      <c r="K67" s="4">
        <f>VLOOKUP($C67,Products!$A$1:$E$21,4,TRUE)</f>
        <v>320</v>
      </c>
      <c r="L67" s="4">
        <f>VLOOKUP($C67,Products!$A$1:$E$21,5,TRUE)</f>
        <v>430</v>
      </c>
      <c r="M67" s="4">
        <f t="shared" ref="M67:M130" si="8">$K67*$E67</f>
        <v>2240</v>
      </c>
      <c r="N67" s="4">
        <f t="shared" ref="N67:N130" si="9">$L67*$E67</f>
        <v>3010</v>
      </c>
      <c r="O67" s="4">
        <f t="shared" ref="O67:O130" si="10">$N67-$M67</f>
        <v>770</v>
      </c>
      <c r="P67" s="5">
        <f t="shared" ref="P67:P130" si="11">$O67/$N67</f>
        <v>0.2558139534883721</v>
      </c>
      <c r="Q67" s="3" t="str">
        <f t="shared" ref="Q67:Q130" si="12">IF($N67&lt;$N$508,"Low_order",IF($N67&lt;$N$509,"Medium_order","High_order"))</f>
        <v>High_order</v>
      </c>
      <c r="R67" s="3" t="str">
        <f t="shared" ref="R67:R130" si="13">IF($F67&lt;$F$508,"Young",IF($F67&lt;$F$509,"Middle_age","Senior"))</f>
        <v>Young</v>
      </c>
      <c r="S67" s="11" t="str">
        <f t="shared" ref="S67:S130" si="14">IF(P67&lt;$P$508,"Low_profit",IF(P67&lt;$P$509,"Medium_profit","High_profit"))</f>
        <v>Low_profit</v>
      </c>
      <c r="T67" s="13" t="str">
        <f t="shared" ref="T67:T130" si="15">TEXT(A67,"MMM")</f>
        <v>Oct</v>
      </c>
    </row>
    <row r="68" spans="1:20" x14ac:dyDescent="0.3">
      <c r="A68" s="9">
        <v>45318</v>
      </c>
      <c r="B68" s="3">
        <v>3067</v>
      </c>
      <c r="C68" s="3">
        <v>1007</v>
      </c>
      <c r="D68" s="3">
        <v>2008</v>
      </c>
      <c r="E68" s="3">
        <v>3</v>
      </c>
      <c r="F68" s="3">
        <f>VLOOKUP(Sheet1!$D68,Customers!$A$1:$D$51,2,TRUE)</f>
        <v>36</v>
      </c>
      <c r="G68" s="3" t="str">
        <f>VLOOKUP(Sheet1!$D68,Customers!$A$1:$D$51,3,TRUE)</f>
        <v>Male</v>
      </c>
      <c r="H68" s="3" t="str">
        <f>VLOOKUP(Sheet1!$D68,Customers!$A$1:$D$51,4,TRUE)</f>
        <v>Mumbai</v>
      </c>
      <c r="I68" s="3" t="str">
        <f>VLOOKUP($C68,Products!$A$1:$E$21,2,TRUE)</f>
        <v>Charger</v>
      </c>
      <c r="J68" s="3" t="str">
        <f>VLOOKUP($C68,Products!$A$1:$E$21,3,TRUE)</f>
        <v>Accessories</v>
      </c>
      <c r="K68" s="4">
        <f>VLOOKUP($C68,Products!$A$1:$E$21,4,TRUE)</f>
        <v>160</v>
      </c>
      <c r="L68" s="4">
        <f>VLOOKUP($C68,Products!$A$1:$E$21,5,TRUE)</f>
        <v>230</v>
      </c>
      <c r="M68" s="4">
        <f t="shared" si="8"/>
        <v>480</v>
      </c>
      <c r="N68" s="4">
        <f t="shared" si="9"/>
        <v>690</v>
      </c>
      <c r="O68" s="4">
        <f t="shared" si="10"/>
        <v>210</v>
      </c>
      <c r="P68" s="5">
        <f t="shared" si="11"/>
        <v>0.30434782608695654</v>
      </c>
      <c r="Q68" s="3" t="str">
        <f t="shared" si="12"/>
        <v>Low_order</v>
      </c>
      <c r="R68" s="3" t="str">
        <f t="shared" si="13"/>
        <v>Middle_age</v>
      </c>
      <c r="S68" s="11" t="str">
        <f t="shared" si="14"/>
        <v>Low_profit</v>
      </c>
      <c r="T68" s="13" t="str">
        <f t="shared" si="15"/>
        <v>Jan</v>
      </c>
    </row>
    <row r="69" spans="1:20" x14ac:dyDescent="0.3">
      <c r="A69" s="9">
        <v>45601</v>
      </c>
      <c r="B69" s="3">
        <v>3068</v>
      </c>
      <c r="C69" s="3">
        <v>1016</v>
      </c>
      <c r="D69" s="3">
        <v>2022</v>
      </c>
      <c r="E69" s="3">
        <v>7</v>
      </c>
      <c r="F69" s="3">
        <f>VLOOKUP(Sheet1!$D69,Customers!$A$1:$D$51,2,TRUE)</f>
        <v>19</v>
      </c>
      <c r="G69" s="3" t="str">
        <f>VLOOKUP(Sheet1!$D69,Customers!$A$1:$D$51,3,TRUE)</f>
        <v>Male</v>
      </c>
      <c r="H69" s="3" t="str">
        <f>VLOOKUP(Sheet1!$D69,Customers!$A$1:$D$51,4,TRUE)</f>
        <v>Pune</v>
      </c>
      <c r="I69" s="3" t="str">
        <f>VLOOKUP($C69,Products!$A$1:$E$21,2,TRUE)</f>
        <v>Yoga Mat</v>
      </c>
      <c r="J69" s="3" t="str">
        <f>VLOOKUP($C69,Products!$A$1:$E$21,3,TRUE)</f>
        <v>Fitness</v>
      </c>
      <c r="K69" s="4">
        <f>VLOOKUP($C69,Products!$A$1:$E$21,4,TRUE)</f>
        <v>330</v>
      </c>
      <c r="L69" s="4">
        <f>VLOOKUP($C69,Products!$A$1:$E$21,5,TRUE)</f>
        <v>490</v>
      </c>
      <c r="M69" s="4">
        <f t="shared" si="8"/>
        <v>2310</v>
      </c>
      <c r="N69" s="4">
        <f t="shared" si="9"/>
        <v>3430</v>
      </c>
      <c r="O69" s="4">
        <f t="shared" si="10"/>
        <v>1120</v>
      </c>
      <c r="P69" s="5">
        <f t="shared" si="11"/>
        <v>0.32653061224489793</v>
      </c>
      <c r="Q69" s="3" t="str">
        <f t="shared" si="12"/>
        <v>High_order</v>
      </c>
      <c r="R69" s="3" t="str">
        <f t="shared" si="13"/>
        <v>Young</v>
      </c>
      <c r="S69" s="11" t="str">
        <f t="shared" si="14"/>
        <v>Medium_profit</v>
      </c>
      <c r="T69" s="13" t="str">
        <f t="shared" si="15"/>
        <v>Nov</v>
      </c>
    </row>
    <row r="70" spans="1:20" x14ac:dyDescent="0.3">
      <c r="A70" s="9">
        <v>45449</v>
      </c>
      <c r="B70" s="3">
        <v>3069</v>
      </c>
      <c r="C70" s="3">
        <v>1017</v>
      </c>
      <c r="D70" s="3">
        <v>2020</v>
      </c>
      <c r="E70" s="3">
        <v>4</v>
      </c>
      <c r="F70" s="3">
        <f>VLOOKUP(Sheet1!$D70,Customers!$A$1:$D$51,2,TRUE)</f>
        <v>27</v>
      </c>
      <c r="G70" s="3" t="str">
        <f>VLOOKUP(Sheet1!$D70,Customers!$A$1:$D$51,3,TRUE)</f>
        <v>Male</v>
      </c>
      <c r="H70" s="3" t="str">
        <f>VLOOKUP(Sheet1!$D70,Customers!$A$1:$D$51,4,TRUE)</f>
        <v>Chandigarh</v>
      </c>
      <c r="I70" s="3" t="str">
        <f>VLOOKUP($C70,Products!$A$1:$E$21,2,TRUE)</f>
        <v>Dumbbells</v>
      </c>
      <c r="J70" s="3" t="str">
        <f>VLOOKUP($C70,Products!$A$1:$E$21,3,TRUE)</f>
        <v>Fitness</v>
      </c>
      <c r="K70" s="4">
        <f>VLOOKUP($C70,Products!$A$1:$E$21,4,TRUE)</f>
        <v>120</v>
      </c>
      <c r="L70" s="4">
        <f>VLOOKUP($C70,Products!$A$1:$E$21,5,TRUE)</f>
        <v>200</v>
      </c>
      <c r="M70" s="4">
        <f t="shared" si="8"/>
        <v>480</v>
      </c>
      <c r="N70" s="4">
        <f t="shared" si="9"/>
        <v>800</v>
      </c>
      <c r="O70" s="4">
        <f t="shared" si="10"/>
        <v>320</v>
      </c>
      <c r="P70" s="5">
        <f t="shared" si="11"/>
        <v>0.4</v>
      </c>
      <c r="Q70" s="3" t="str">
        <f t="shared" si="12"/>
        <v>Low_order</v>
      </c>
      <c r="R70" s="3" t="str">
        <f t="shared" si="13"/>
        <v>Young</v>
      </c>
      <c r="S70" s="11" t="str">
        <f t="shared" si="14"/>
        <v>Medium_profit</v>
      </c>
      <c r="T70" s="13" t="str">
        <f t="shared" si="15"/>
        <v>Jun</v>
      </c>
    </row>
    <row r="71" spans="1:20" x14ac:dyDescent="0.3">
      <c r="A71" s="9">
        <v>45581</v>
      </c>
      <c r="B71" s="3">
        <v>3070</v>
      </c>
      <c r="C71" s="3">
        <v>1001</v>
      </c>
      <c r="D71" s="3">
        <v>2007</v>
      </c>
      <c r="E71" s="3">
        <v>5</v>
      </c>
      <c r="F71" s="3">
        <f>VLOOKUP(Sheet1!$D71,Customers!$A$1:$D$51,2,TRUE)</f>
        <v>34</v>
      </c>
      <c r="G71" s="3" t="str">
        <f>VLOOKUP(Sheet1!$D71,Customers!$A$1:$D$51,3,TRUE)</f>
        <v>Male</v>
      </c>
      <c r="H71" s="3" t="str">
        <f>VLOOKUP(Sheet1!$D71,Customers!$A$1:$D$51,4,TRUE)</f>
        <v>Bangalore</v>
      </c>
      <c r="I71" s="3" t="str">
        <f>VLOOKUP($C71,Products!$A$1:$E$21,2,TRUE)</f>
        <v>Headphones</v>
      </c>
      <c r="J71" s="3" t="str">
        <f>VLOOKUP($C71,Products!$A$1:$E$21,3,TRUE)</f>
        <v>Electronics</v>
      </c>
      <c r="K71" s="4">
        <f>VLOOKUP($C71,Products!$A$1:$E$21,4,TRUE)</f>
        <v>380</v>
      </c>
      <c r="L71" s="4">
        <f>VLOOKUP($C71,Products!$A$1:$E$21,5,TRUE)</f>
        <v>550</v>
      </c>
      <c r="M71" s="4">
        <f t="shared" si="8"/>
        <v>1900</v>
      </c>
      <c r="N71" s="4">
        <f t="shared" si="9"/>
        <v>2750</v>
      </c>
      <c r="O71" s="4">
        <f t="shared" si="10"/>
        <v>850</v>
      </c>
      <c r="P71" s="5">
        <f t="shared" si="11"/>
        <v>0.30909090909090908</v>
      </c>
      <c r="Q71" s="3" t="str">
        <f t="shared" si="12"/>
        <v>High_order</v>
      </c>
      <c r="R71" s="3" t="str">
        <f t="shared" si="13"/>
        <v>Middle_age</v>
      </c>
      <c r="S71" s="11" t="str">
        <f t="shared" si="14"/>
        <v>Low_profit</v>
      </c>
      <c r="T71" s="13" t="str">
        <f t="shared" si="15"/>
        <v>Oct</v>
      </c>
    </row>
    <row r="72" spans="1:20" x14ac:dyDescent="0.3">
      <c r="A72" s="9">
        <v>45604</v>
      </c>
      <c r="B72" s="3">
        <v>3071</v>
      </c>
      <c r="C72" s="3">
        <v>1006</v>
      </c>
      <c r="D72" s="3">
        <v>2001</v>
      </c>
      <c r="E72" s="3">
        <v>7</v>
      </c>
      <c r="F72" s="3">
        <f>VLOOKUP(Sheet1!$D72,Customers!$A$1:$D$51,2,TRUE)</f>
        <v>44</v>
      </c>
      <c r="G72" s="3" t="str">
        <f>VLOOKUP(Sheet1!$D72,Customers!$A$1:$D$51,3,TRUE)</f>
        <v>Male</v>
      </c>
      <c r="H72" s="3" t="str">
        <f>VLOOKUP(Sheet1!$D72,Customers!$A$1:$D$51,4,TRUE)</f>
        <v>Delhi</v>
      </c>
      <c r="I72" s="3" t="str">
        <f>VLOOKUP($C72,Products!$A$1:$E$21,2,TRUE)</f>
        <v>Phone Case</v>
      </c>
      <c r="J72" s="3" t="str">
        <f>VLOOKUP($C72,Products!$A$1:$E$21,3,TRUE)</f>
        <v>Accessories</v>
      </c>
      <c r="K72" s="4">
        <f>VLOOKUP($C72,Products!$A$1:$E$21,4,TRUE)</f>
        <v>320</v>
      </c>
      <c r="L72" s="4">
        <f>VLOOKUP($C72,Products!$A$1:$E$21,5,TRUE)</f>
        <v>430</v>
      </c>
      <c r="M72" s="4">
        <f t="shared" si="8"/>
        <v>2240</v>
      </c>
      <c r="N72" s="4">
        <f t="shared" si="9"/>
        <v>3010</v>
      </c>
      <c r="O72" s="4">
        <f t="shared" si="10"/>
        <v>770</v>
      </c>
      <c r="P72" s="5">
        <f t="shared" si="11"/>
        <v>0.2558139534883721</v>
      </c>
      <c r="Q72" s="3" t="str">
        <f t="shared" si="12"/>
        <v>High_order</v>
      </c>
      <c r="R72" s="3" t="str">
        <f t="shared" si="13"/>
        <v>Senior</v>
      </c>
      <c r="S72" s="11" t="str">
        <f t="shared" si="14"/>
        <v>Low_profit</v>
      </c>
      <c r="T72" s="13" t="str">
        <f t="shared" si="15"/>
        <v>Nov</v>
      </c>
    </row>
    <row r="73" spans="1:20" x14ac:dyDescent="0.3">
      <c r="A73" s="9">
        <v>45512</v>
      </c>
      <c r="B73" s="3">
        <v>3072</v>
      </c>
      <c r="C73" s="3">
        <v>1012</v>
      </c>
      <c r="D73" s="3">
        <v>2027</v>
      </c>
      <c r="E73" s="3">
        <v>3</v>
      </c>
      <c r="F73" s="3">
        <f>VLOOKUP(Sheet1!$D73,Customers!$A$1:$D$51,2,TRUE)</f>
        <v>27</v>
      </c>
      <c r="G73" s="3" t="str">
        <f>VLOOKUP(Sheet1!$D73,Customers!$A$1:$D$51,3,TRUE)</f>
        <v>Female</v>
      </c>
      <c r="H73" s="3" t="str">
        <f>VLOOKUP(Sheet1!$D73,Customers!$A$1:$D$51,4,TRUE)</f>
        <v>Chandigarh</v>
      </c>
      <c r="I73" s="3" t="str">
        <f>VLOOKUP($C73,Products!$A$1:$E$21,2,TRUE)</f>
        <v>Pen Set</v>
      </c>
      <c r="J73" s="3" t="str">
        <f>VLOOKUP($C73,Products!$A$1:$E$21,3,TRUE)</f>
        <v>Office</v>
      </c>
      <c r="K73" s="4">
        <f>VLOOKUP($C73,Products!$A$1:$E$21,4,TRUE)</f>
        <v>380</v>
      </c>
      <c r="L73" s="4">
        <f>VLOOKUP($C73,Products!$A$1:$E$21,5,TRUE)</f>
        <v>510</v>
      </c>
      <c r="M73" s="4">
        <f t="shared" si="8"/>
        <v>1140</v>
      </c>
      <c r="N73" s="4">
        <f t="shared" si="9"/>
        <v>1530</v>
      </c>
      <c r="O73" s="4">
        <f t="shared" si="10"/>
        <v>390</v>
      </c>
      <c r="P73" s="5">
        <f t="shared" si="11"/>
        <v>0.25490196078431371</v>
      </c>
      <c r="Q73" s="3" t="str">
        <f t="shared" si="12"/>
        <v>Medium_order</v>
      </c>
      <c r="R73" s="3" t="str">
        <f t="shared" si="13"/>
        <v>Young</v>
      </c>
      <c r="S73" s="11" t="str">
        <f t="shared" si="14"/>
        <v>Low_profit</v>
      </c>
      <c r="T73" s="13" t="str">
        <f t="shared" si="15"/>
        <v>Aug</v>
      </c>
    </row>
    <row r="74" spans="1:20" x14ac:dyDescent="0.3">
      <c r="A74" s="9">
        <v>45335</v>
      </c>
      <c r="B74" s="3">
        <v>3073</v>
      </c>
      <c r="C74" s="3">
        <v>1004</v>
      </c>
      <c r="D74" s="3">
        <v>2028</v>
      </c>
      <c r="E74" s="3">
        <v>3</v>
      </c>
      <c r="F74" s="3">
        <f>VLOOKUP(Sheet1!$D74,Customers!$A$1:$D$51,2,TRUE)</f>
        <v>43</v>
      </c>
      <c r="G74" s="3" t="str">
        <f>VLOOKUP(Sheet1!$D74,Customers!$A$1:$D$51,3,TRUE)</f>
        <v>Male</v>
      </c>
      <c r="H74" s="3" t="str">
        <f>VLOOKUP(Sheet1!$D74,Customers!$A$1:$D$51,4,TRUE)</f>
        <v>Mumbai</v>
      </c>
      <c r="I74" s="3" t="str">
        <f>VLOOKUP($C74,Products!$A$1:$E$21,2,TRUE)</f>
        <v>Speaker</v>
      </c>
      <c r="J74" s="3" t="str">
        <f>VLOOKUP($C74,Products!$A$1:$E$21,3,TRUE)</f>
        <v>Electronics</v>
      </c>
      <c r="K74" s="4">
        <f>VLOOKUP($C74,Products!$A$1:$E$21,4,TRUE)</f>
        <v>230</v>
      </c>
      <c r="L74" s="4">
        <f>VLOOKUP($C74,Products!$A$1:$E$21,5,TRUE)</f>
        <v>440</v>
      </c>
      <c r="M74" s="4">
        <f t="shared" si="8"/>
        <v>690</v>
      </c>
      <c r="N74" s="4">
        <f t="shared" si="9"/>
        <v>1320</v>
      </c>
      <c r="O74" s="4">
        <f t="shared" si="10"/>
        <v>630</v>
      </c>
      <c r="P74" s="5">
        <f t="shared" si="11"/>
        <v>0.47727272727272729</v>
      </c>
      <c r="Q74" s="3" t="str">
        <f t="shared" si="12"/>
        <v>Medium_order</v>
      </c>
      <c r="R74" s="3" t="str">
        <f t="shared" si="13"/>
        <v>Senior</v>
      </c>
      <c r="S74" s="11" t="str">
        <f t="shared" si="14"/>
        <v>High_profit</v>
      </c>
      <c r="T74" s="13" t="str">
        <f t="shared" si="15"/>
        <v>Feb</v>
      </c>
    </row>
    <row r="75" spans="1:20" x14ac:dyDescent="0.3">
      <c r="A75" s="9">
        <v>45470</v>
      </c>
      <c r="B75" s="3">
        <v>3074</v>
      </c>
      <c r="C75" s="3">
        <v>1008</v>
      </c>
      <c r="D75" s="3">
        <v>2035</v>
      </c>
      <c r="E75" s="3">
        <v>5</v>
      </c>
      <c r="F75" s="3">
        <f>VLOOKUP(Sheet1!$D75,Customers!$A$1:$D$51,2,TRUE)</f>
        <v>37</v>
      </c>
      <c r="G75" s="3" t="str">
        <f>VLOOKUP(Sheet1!$D75,Customers!$A$1:$D$51,3,TRUE)</f>
        <v>Female</v>
      </c>
      <c r="H75" s="3" t="str">
        <f>VLOOKUP(Sheet1!$D75,Customers!$A$1:$D$51,4,TRUE)</f>
        <v>Delhi</v>
      </c>
      <c r="I75" s="3" t="str">
        <f>VLOOKUP($C75,Products!$A$1:$E$21,2,TRUE)</f>
        <v>USB Cable</v>
      </c>
      <c r="J75" s="3" t="str">
        <f>VLOOKUP($C75,Products!$A$1:$E$21,3,TRUE)</f>
        <v>Accessories</v>
      </c>
      <c r="K75" s="4">
        <f>VLOOKUP($C75,Products!$A$1:$E$21,4,TRUE)</f>
        <v>340</v>
      </c>
      <c r="L75" s="4">
        <f>VLOOKUP($C75,Products!$A$1:$E$21,5,TRUE)</f>
        <v>430</v>
      </c>
      <c r="M75" s="4">
        <f t="shared" si="8"/>
        <v>1700</v>
      </c>
      <c r="N75" s="4">
        <f t="shared" si="9"/>
        <v>2150</v>
      </c>
      <c r="O75" s="4">
        <f t="shared" si="10"/>
        <v>450</v>
      </c>
      <c r="P75" s="5">
        <f t="shared" si="11"/>
        <v>0.20930232558139536</v>
      </c>
      <c r="Q75" s="3" t="str">
        <f t="shared" si="12"/>
        <v>Medium_order</v>
      </c>
      <c r="R75" s="3" t="str">
        <f t="shared" si="13"/>
        <v>Middle_age</v>
      </c>
      <c r="S75" s="11" t="str">
        <f t="shared" si="14"/>
        <v>Low_profit</v>
      </c>
      <c r="T75" s="13" t="str">
        <f t="shared" si="15"/>
        <v>Jun</v>
      </c>
    </row>
    <row r="76" spans="1:20" x14ac:dyDescent="0.3">
      <c r="A76" s="9">
        <v>45611</v>
      </c>
      <c r="B76" s="3">
        <v>3075</v>
      </c>
      <c r="C76" s="3">
        <v>1004</v>
      </c>
      <c r="D76" s="3">
        <v>2014</v>
      </c>
      <c r="E76" s="3">
        <v>1</v>
      </c>
      <c r="F76" s="3">
        <f>VLOOKUP(Sheet1!$D76,Customers!$A$1:$D$51,2,TRUE)</f>
        <v>58</v>
      </c>
      <c r="G76" s="3" t="str">
        <f>VLOOKUP(Sheet1!$D76,Customers!$A$1:$D$51,3,TRUE)</f>
        <v>Female</v>
      </c>
      <c r="H76" s="3" t="str">
        <f>VLOOKUP(Sheet1!$D76,Customers!$A$1:$D$51,4,TRUE)</f>
        <v>Chandigarh</v>
      </c>
      <c r="I76" s="3" t="str">
        <f>VLOOKUP($C76,Products!$A$1:$E$21,2,TRUE)</f>
        <v>Speaker</v>
      </c>
      <c r="J76" s="3" t="str">
        <f>VLOOKUP($C76,Products!$A$1:$E$21,3,TRUE)</f>
        <v>Electronics</v>
      </c>
      <c r="K76" s="4">
        <f>VLOOKUP($C76,Products!$A$1:$E$21,4,TRUE)</f>
        <v>230</v>
      </c>
      <c r="L76" s="4">
        <f>VLOOKUP($C76,Products!$A$1:$E$21,5,TRUE)</f>
        <v>440</v>
      </c>
      <c r="M76" s="4">
        <f t="shared" si="8"/>
        <v>230</v>
      </c>
      <c r="N76" s="4">
        <f t="shared" si="9"/>
        <v>440</v>
      </c>
      <c r="O76" s="4">
        <f t="shared" si="10"/>
        <v>210</v>
      </c>
      <c r="P76" s="5">
        <f t="shared" si="11"/>
        <v>0.47727272727272729</v>
      </c>
      <c r="Q76" s="3" t="str">
        <f t="shared" si="12"/>
        <v>Low_order</v>
      </c>
      <c r="R76" s="3" t="str">
        <f t="shared" si="13"/>
        <v>Senior</v>
      </c>
      <c r="S76" s="11" t="str">
        <f t="shared" si="14"/>
        <v>High_profit</v>
      </c>
      <c r="T76" s="13" t="str">
        <f t="shared" si="15"/>
        <v>Nov</v>
      </c>
    </row>
    <row r="77" spans="1:20" x14ac:dyDescent="0.3">
      <c r="A77" s="9">
        <v>45463</v>
      </c>
      <c r="B77" s="3">
        <v>3076</v>
      </c>
      <c r="C77" s="3">
        <v>1013</v>
      </c>
      <c r="D77" s="3">
        <v>2022</v>
      </c>
      <c r="E77" s="3">
        <v>5</v>
      </c>
      <c r="F77" s="3">
        <f>VLOOKUP(Sheet1!$D77,Customers!$A$1:$D$51,2,TRUE)</f>
        <v>19</v>
      </c>
      <c r="G77" s="3" t="str">
        <f>VLOOKUP(Sheet1!$D77,Customers!$A$1:$D$51,3,TRUE)</f>
        <v>Male</v>
      </c>
      <c r="H77" s="3" t="str">
        <f>VLOOKUP(Sheet1!$D77,Customers!$A$1:$D$51,4,TRUE)</f>
        <v>Pune</v>
      </c>
      <c r="I77" s="3" t="str">
        <f>VLOOKUP($C77,Products!$A$1:$E$21,2,TRUE)</f>
        <v>Desk Lamp</v>
      </c>
      <c r="J77" s="3" t="str">
        <f>VLOOKUP($C77,Products!$A$1:$E$21,3,TRUE)</f>
        <v>Office</v>
      </c>
      <c r="K77" s="4">
        <f>VLOOKUP($C77,Products!$A$1:$E$21,4,TRUE)</f>
        <v>140</v>
      </c>
      <c r="L77" s="4">
        <f>VLOOKUP($C77,Products!$A$1:$E$21,5,TRUE)</f>
        <v>390</v>
      </c>
      <c r="M77" s="4">
        <f t="shared" si="8"/>
        <v>700</v>
      </c>
      <c r="N77" s="4">
        <f t="shared" si="9"/>
        <v>1950</v>
      </c>
      <c r="O77" s="4">
        <f t="shared" si="10"/>
        <v>1250</v>
      </c>
      <c r="P77" s="5">
        <f t="shared" si="11"/>
        <v>0.64102564102564108</v>
      </c>
      <c r="Q77" s="3" t="str">
        <f t="shared" si="12"/>
        <v>Medium_order</v>
      </c>
      <c r="R77" s="3" t="str">
        <f t="shared" si="13"/>
        <v>Young</v>
      </c>
      <c r="S77" s="11" t="str">
        <f t="shared" si="14"/>
        <v>High_profit</v>
      </c>
      <c r="T77" s="13" t="str">
        <f t="shared" si="15"/>
        <v>Jun</v>
      </c>
    </row>
    <row r="78" spans="1:20" x14ac:dyDescent="0.3">
      <c r="A78" s="9">
        <v>45419</v>
      </c>
      <c r="B78" s="3">
        <v>3077</v>
      </c>
      <c r="C78" s="3">
        <v>1019</v>
      </c>
      <c r="D78" s="3">
        <v>2008</v>
      </c>
      <c r="E78" s="3">
        <v>4</v>
      </c>
      <c r="F78" s="3">
        <f>VLOOKUP(Sheet1!$D78,Customers!$A$1:$D$51,2,TRUE)</f>
        <v>36</v>
      </c>
      <c r="G78" s="3" t="str">
        <f>VLOOKUP(Sheet1!$D78,Customers!$A$1:$D$51,3,TRUE)</f>
        <v>Male</v>
      </c>
      <c r="H78" s="3" t="str">
        <f>VLOOKUP(Sheet1!$D78,Customers!$A$1:$D$51,4,TRUE)</f>
        <v>Mumbai</v>
      </c>
      <c r="I78" s="3" t="str">
        <f>VLOOKUP($C78,Products!$A$1:$E$21,2,TRUE)</f>
        <v>Skipping Rope</v>
      </c>
      <c r="J78" s="3" t="str">
        <f>VLOOKUP($C78,Products!$A$1:$E$21,3,TRUE)</f>
        <v>Fitness</v>
      </c>
      <c r="K78" s="4">
        <f>VLOOKUP($C78,Products!$A$1:$E$21,4,TRUE)</f>
        <v>140</v>
      </c>
      <c r="L78" s="4">
        <f>VLOOKUP($C78,Products!$A$1:$E$21,5,TRUE)</f>
        <v>270</v>
      </c>
      <c r="M78" s="4">
        <f t="shared" si="8"/>
        <v>560</v>
      </c>
      <c r="N78" s="4">
        <f t="shared" si="9"/>
        <v>1080</v>
      </c>
      <c r="O78" s="4">
        <f t="shared" si="10"/>
        <v>520</v>
      </c>
      <c r="P78" s="5">
        <f t="shared" si="11"/>
        <v>0.48148148148148145</v>
      </c>
      <c r="Q78" s="3" t="str">
        <f t="shared" si="12"/>
        <v>Low_order</v>
      </c>
      <c r="R78" s="3" t="str">
        <f t="shared" si="13"/>
        <v>Middle_age</v>
      </c>
      <c r="S78" s="11" t="str">
        <f t="shared" si="14"/>
        <v>High_profit</v>
      </c>
      <c r="T78" s="13" t="str">
        <f t="shared" si="15"/>
        <v>May</v>
      </c>
    </row>
    <row r="79" spans="1:20" x14ac:dyDescent="0.3">
      <c r="A79" s="9">
        <v>45606</v>
      </c>
      <c r="B79" s="3">
        <v>3078</v>
      </c>
      <c r="C79" s="3">
        <v>1005</v>
      </c>
      <c r="D79" s="3">
        <v>2046</v>
      </c>
      <c r="E79" s="3">
        <v>2</v>
      </c>
      <c r="F79" s="3">
        <f>VLOOKUP(Sheet1!$D79,Customers!$A$1:$D$51,2,TRUE)</f>
        <v>52</v>
      </c>
      <c r="G79" s="3" t="str">
        <f>VLOOKUP(Sheet1!$D79,Customers!$A$1:$D$51,3,TRUE)</f>
        <v>Male</v>
      </c>
      <c r="H79" s="3" t="str">
        <f>VLOOKUP(Sheet1!$D79,Customers!$A$1:$D$51,4,TRUE)</f>
        <v>Pune</v>
      </c>
      <c r="I79" s="3" t="str">
        <f>VLOOKUP($C79,Products!$A$1:$E$21,2,TRUE)</f>
        <v>Webcam</v>
      </c>
      <c r="J79" s="3" t="str">
        <f>VLOOKUP($C79,Products!$A$1:$E$21,3,TRUE)</f>
        <v>Electronics</v>
      </c>
      <c r="K79" s="4">
        <f>VLOOKUP($C79,Products!$A$1:$E$21,4,TRUE)</f>
        <v>340</v>
      </c>
      <c r="L79" s="4">
        <f>VLOOKUP($C79,Products!$A$1:$E$21,5,TRUE)</f>
        <v>520</v>
      </c>
      <c r="M79" s="4">
        <f t="shared" si="8"/>
        <v>680</v>
      </c>
      <c r="N79" s="4">
        <f t="shared" si="9"/>
        <v>1040</v>
      </c>
      <c r="O79" s="4">
        <f t="shared" si="10"/>
        <v>360</v>
      </c>
      <c r="P79" s="5">
        <f t="shared" si="11"/>
        <v>0.34615384615384615</v>
      </c>
      <c r="Q79" s="3" t="str">
        <f t="shared" si="12"/>
        <v>Low_order</v>
      </c>
      <c r="R79" s="3" t="str">
        <f t="shared" si="13"/>
        <v>Senior</v>
      </c>
      <c r="S79" s="11" t="str">
        <f t="shared" si="14"/>
        <v>Medium_profit</v>
      </c>
      <c r="T79" s="13" t="str">
        <f t="shared" si="15"/>
        <v>Nov</v>
      </c>
    </row>
    <row r="80" spans="1:20" x14ac:dyDescent="0.3">
      <c r="A80" s="9">
        <v>45445</v>
      </c>
      <c r="B80" s="3">
        <v>3079</v>
      </c>
      <c r="C80" s="3">
        <v>1020</v>
      </c>
      <c r="D80" s="3">
        <v>2015</v>
      </c>
      <c r="E80" s="3">
        <v>5</v>
      </c>
      <c r="F80" s="3">
        <f>VLOOKUP(Sheet1!$D80,Customers!$A$1:$D$51,2,TRUE)</f>
        <v>40</v>
      </c>
      <c r="G80" s="3" t="str">
        <f>VLOOKUP(Sheet1!$D80,Customers!$A$1:$D$51,3,TRUE)</f>
        <v>Male</v>
      </c>
      <c r="H80" s="3" t="str">
        <f>VLOOKUP(Sheet1!$D80,Customers!$A$1:$D$51,4,TRUE)</f>
        <v>Delhi</v>
      </c>
      <c r="I80" s="3" t="str">
        <f>VLOOKUP($C80,Products!$A$1:$E$21,2,TRUE)</f>
        <v>Water Bottle</v>
      </c>
      <c r="J80" s="3" t="str">
        <f>VLOOKUP($C80,Products!$A$1:$E$21,3,TRUE)</f>
        <v>Fitness</v>
      </c>
      <c r="K80" s="4">
        <f>VLOOKUP($C80,Products!$A$1:$E$21,4,TRUE)</f>
        <v>400</v>
      </c>
      <c r="L80" s="4">
        <f>VLOOKUP($C80,Products!$A$1:$E$21,5,TRUE)</f>
        <v>560</v>
      </c>
      <c r="M80" s="4">
        <f t="shared" si="8"/>
        <v>2000</v>
      </c>
      <c r="N80" s="4">
        <f t="shared" si="9"/>
        <v>2800</v>
      </c>
      <c r="O80" s="4">
        <f t="shared" si="10"/>
        <v>800</v>
      </c>
      <c r="P80" s="5">
        <f t="shared" si="11"/>
        <v>0.2857142857142857</v>
      </c>
      <c r="Q80" s="3" t="str">
        <f t="shared" si="12"/>
        <v>High_order</v>
      </c>
      <c r="R80" s="3" t="str">
        <f t="shared" si="13"/>
        <v>Middle_age</v>
      </c>
      <c r="S80" s="11" t="str">
        <f t="shared" si="14"/>
        <v>Low_profit</v>
      </c>
      <c r="T80" s="13" t="str">
        <f t="shared" si="15"/>
        <v>Jun</v>
      </c>
    </row>
    <row r="81" spans="1:20" x14ac:dyDescent="0.3">
      <c r="A81" s="9">
        <v>45498</v>
      </c>
      <c r="B81" s="3">
        <v>3080</v>
      </c>
      <c r="C81" s="3">
        <v>1013</v>
      </c>
      <c r="D81" s="3">
        <v>2040</v>
      </c>
      <c r="E81" s="3">
        <v>3</v>
      </c>
      <c r="F81" s="3">
        <f>VLOOKUP(Sheet1!$D81,Customers!$A$1:$D$51,2,TRUE)</f>
        <v>40</v>
      </c>
      <c r="G81" s="3" t="str">
        <f>VLOOKUP(Sheet1!$D81,Customers!$A$1:$D$51,3,TRUE)</f>
        <v>Male</v>
      </c>
      <c r="H81" s="3" t="str">
        <f>VLOOKUP(Sheet1!$D81,Customers!$A$1:$D$51,4,TRUE)</f>
        <v>Hyderabad</v>
      </c>
      <c r="I81" s="3" t="str">
        <f>VLOOKUP($C81,Products!$A$1:$E$21,2,TRUE)</f>
        <v>Desk Lamp</v>
      </c>
      <c r="J81" s="3" t="str">
        <f>VLOOKUP($C81,Products!$A$1:$E$21,3,TRUE)</f>
        <v>Office</v>
      </c>
      <c r="K81" s="4">
        <f>VLOOKUP($C81,Products!$A$1:$E$21,4,TRUE)</f>
        <v>140</v>
      </c>
      <c r="L81" s="4">
        <f>VLOOKUP($C81,Products!$A$1:$E$21,5,TRUE)</f>
        <v>390</v>
      </c>
      <c r="M81" s="4">
        <f t="shared" si="8"/>
        <v>420</v>
      </c>
      <c r="N81" s="4">
        <f t="shared" si="9"/>
        <v>1170</v>
      </c>
      <c r="O81" s="4">
        <f t="shared" si="10"/>
        <v>750</v>
      </c>
      <c r="P81" s="5">
        <f t="shared" si="11"/>
        <v>0.64102564102564108</v>
      </c>
      <c r="Q81" s="3" t="str">
        <f t="shared" si="12"/>
        <v>Low_order</v>
      </c>
      <c r="R81" s="3" t="str">
        <f t="shared" si="13"/>
        <v>Middle_age</v>
      </c>
      <c r="S81" s="11" t="str">
        <f t="shared" si="14"/>
        <v>High_profit</v>
      </c>
      <c r="T81" s="13" t="str">
        <f t="shared" si="15"/>
        <v>Jul</v>
      </c>
    </row>
    <row r="82" spans="1:20" x14ac:dyDescent="0.3">
      <c r="A82" s="9">
        <v>45487</v>
      </c>
      <c r="B82" s="3">
        <v>3081</v>
      </c>
      <c r="C82" s="3">
        <v>1011</v>
      </c>
      <c r="D82" s="3">
        <v>2022</v>
      </c>
      <c r="E82" s="3">
        <v>3</v>
      </c>
      <c r="F82" s="3">
        <f>VLOOKUP(Sheet1!$D82,Customers!$A$1:$D$51,2,TRUE)</f>
        <v>19</v>
      </c>
      <c r="G82" s="3" t="str">
        <f>VLOOKUP(Sheet1!$D82,Customers!$A$1:$D$51,3,TRUE)</f>
        <v>Male</v>
      </c>
      <c r="H82" s="3" t="str">
        <f>VLOOKUP(Sheet1!$D82,Customers!$A$1:$D$51,4,TRUE)</f>
        <v>Pune</v>
      </c>
      <c r="I82" s="3" t="str">
        <f>VLOOKUP($C82,Products!$A$1:$E$21,2,TRUE)</f>
        <v>Notebook</v>
      </c>
      <c r="J82" s="3" t="str">
        <f>VLOOKUP($C82,Products!$A$1:$E$21,3,TRUE)</f>
        <v>Office</v>
      </c>
      <c r="K82" s="4">
        <f>VLOOKUP($C82,Products!$A$1:$E$21,4,TRUE)</f>
        <v>120</v>
      </c>
      <c r="L82" s="4">
        <f>VLOOKUP($C82,Products!$A$1:$E$21,5,TRUE)</f>
        <v>180</v>
      </c>
      <c r="M82" s="4">
        <f t="shared" si="8"/>
        <v>360</v>
      </c>
      <c r="N82" s="4">
        <f t="shared" si="9"/>
        <v>540</v>
      </c>
      <c r="O82" s="4">
        <f t="shared" si="10"/>
        <v>180</v>
      </c>
      <c r="P82" s="5">
        <f t="shared" si="11"/>
        <v>0.33333333333333331</v>
      </c>
      <c r="Q82" s="3" t="str">
        <f t="shared" si="12"/>
        <v>Low_order</v>
      </c>
      <c r="R82" s="3" t="str">
        <f t="shared" si="13"/>
        <v>Young</v>
      </c>
      <c r="S82" s="11" t="str">
        <f t="shared" si="14"/>
        <v>Medium_profit</v>
      </c>
      <c r="T82" s="13" t="str">
        <f t="shared" si="15"/>
        <v>Jul</v>
      </c>
    </row>
    <row r="83" spans="1:20" x14ac:dyDescent="0.3">
      <c r="A83" s="9">
        <v>45479</v>
      </c>
      <c r="B83" s="3">
        <v>3082</v>
      </c>
      <c r="C83" s="3">
        <v>1017</v>
      </c>
      <c r="D83" s="3">
        <v>2042</v>
      </c>
      <c r="E83" s="3">
        <v>6</v>
      </c>
      <c r="F83" s="3">
        <f>VLOOKUP(Sheet1!$D83,Customers!$A$1:$D$51,2,TRUE)</f>
        <v>18</v>
      </c>
      <c r="G83" s="3" t="str">
        <f>VLOOKUP(Sheet1!$D83,Customers!$A$1:$D$51,3,TRUE)</f>
        <v>Female</v>
      </c>
      <c r="H83" s="3" t="str">
        <f>VLOOKUP(Sheet1!$D83,Customers!$A$1:$D$51,4,TRUE)</f>
        <v>Bangalore</v>
      </c>
      <c r="I83" s="3" t="str">
        <f>VLOOKUP($C83,Products!$A$1:$E$21,2,TRUE)</f>
        <v>Dumbbells</v>
      </c>
      <c r="J83" s="3" t="str">
        <f>VLOOKUP($C83,Products!$A$1:$E$21,3,TRUE)</f>
        <v>Fitness</v>
      </c>
      <c r="K83" s="4">
        <f>VLOOKUP($C83,Products!$A$1:$E$21,4,TRUE)</f>
        <v>120</v>
      </c>
      <c r="L83" s="4">
        <f>VLOOKUP($C83,Products!$A$1:$E$21,5,TRUE)</f>
        <v>200</v>
      </c>
      <c r="M83" s="4">
        <f t="shared" si="8"/>
        <v>720</v>
      </c>
      <c r="N83" s="4">
        <f t="shared" si="9"/>
        <v>1200</v>
      </c>
      <c r="O83" s="4">
        <f t="shared" si="10"/>
        <v>480</v>
      </c>
      <c r="P83" s="5">
        <f t="shared" si="11"/>
        <v>0.4</v>
      </c>
      <c r="Q83" s="3" t="str">
        <f t="shared" si="12"/>
        <v>Low_order</v>
      </c>
      <c r="R83" s="3" t="str">
        <f t="shared" si="13"/>
        <v>Young</v>
      </c>
      <c r="S83" s="11" t="str">
        <f t="shared" si="14"/>
        <v>Medium_profit</v>
      </c>
      <c r="T83" s="13" t="str">
        <f t="shared" si="15"/>
        <v>Jul</v>
      </c>
    </row>
    <row r="84" spans="1:20" x14ac:dyDescent="0.3">
      <c r="A84" s="9">
        <v>45436</v>
      </c>
      <c r="B84" s="3">
        <v>3083</v>
      </c>
      <c r="C84" s="3">
        <v>1020</v>
      </c>
      <c r="D84" s="3">
        <v>2011</v>
      </c>
      <c r="E84" s="3">
        <v>9</v>
      </c>
      <c r="F84" s="3">
        <f>VLOOKUP(Sheet1!$D84,Customers!$A$1:$D$51,2,TRUE)</f>
        <v>33</v>
      </c>
      <c r="G84" s="3" t="str">
        <f>VLOOKUP(Sheet1!$D84,Customers!$A$1:$D$51,3,TRUE)</f>
        <v>Female</v>
      </c>
      <c r="H84" s="3" t="str">
        <f>VLOOKUP(Sheet1!$D84,Customers!$A$1:$D$51,4,TRUE)</f>
        <v>Chandigarh</v>
      </c>
      <c r="I84" s="3" t="str">
        <f>VLOOKUP($C84,Products!$A$1:$E$21,2,TRUE)</f>
        <v>Water Bottle</v>
      </c>
      <c r="J84" s="3" t="str">
        <f>VLOOKUP($C84,Products!$A$1:$E$21,3,TRUE)</f>
        <v>Fitness</v>
      </c>
      <c r="K84" s="4">
        <f>VLOOKUP($C84,Products!$A$1:$E$21,4,TRUE)</f>
        <v>400</v>
      </c>
      <c r="L84" s="4">
        <f>VLOOKUP($C84,Products!$A$1:$E$21,5,TRUE)</f>
        <v>560</v>
      </c>
      <c r="M84" s="4">
        <f t="shared" si="8"/>
        <v>3600</v>
      </c>
      <c r="N84" s="4">
        <f t="shared" si="9"/>
        <v>5040</v>
      </c>
      <c r="O84" s="4">
        <f t="shared" si="10"/>
        <v>1440</v>
      </c>
      <c r="P84" s="5">
        <f t="shared" si="11"/>
        <v>0.2857142857142857</v>
      </c>
      <c r="Q84" s="3" t="str">
        <f t="shared" si="12"/>
        <v>High_order</v>
      </c>
      <c r="R84" s="3" t="str">
        <f t="shared" si="13"/>
        <v>Middle_age</v>
      </c>
      <c r="S84" s="11" t="str">
        <f t="shared" si="14"/>
        <v>Low_profit</v>
      </c>
      <c r="T84" s="13" t="str">
        <f t="shared" si="15"/>
        <v>May</v>
      </c>
    </row>
    <row r="85" spans="1:20" x14ac:dyDescent="0.3">
      <c r="A85" s="9">
        <v>45637</v>
      </c>
      <c r="B85" s="3">
        <v>3084</v>
      </c>
      <c r="C85" s="3">
        <v>1012</v>
      </c>
      <c r="D85" s="3">
        <v>2028</v>
      </c>
      <c r="E85" s="3">
        <v>2</v>
      </c>
      <c r="F85" s="3">
        <f>VLOOKUP(Sheet1!$D85,Customers!$A$1:$D$51,2,TRUE)</f>
        <v>43</v>
      </c>
      <c r="G85" s="3" t="str">
        <f>VLOOKUP(Sheet1!$D85,Customers!$A$1:$D$51,3,TRUE)</f>
        <v>Male</v>
      </c>
      <c r="H85" s="3" t="str">
        <f>VLOOKUP(Sheet1!$D85,Customers!$A$1:$D$51,4,TRUE)</f>
        <v>Mumbai</v>
      </c>
      <c r="I85" s="3" t="str">
        <f>VLOOKUP($C85,Products!$A$1:$E$21,2,TRUE)</f>
        <v>Pen Set</v>
      </c>
      <c r="J85" s="3" t="str">
        <f>VLOOKUP($C85,Products!$A$1:$E$21,3,TRUE)</f>
        <v>Office</v>
      </c>
      <c r="K85" s="4">
        <f>VLOOKUP($C85,Products!$A$1:$E$21,4,TRUE)</f>
        <v>380</v>
      </c>
      <c r="L85" s="4">
        <f>VLOOKUP($C85,Products!$A$1:$E$21,5,TRUE)</f>
        <v>510</v>
      </c>
      <c r="M85" s="4">
        <f t="shared" si="8"/>
        <v>760</v>
      </c>
      <c r="N85" s="4">
        <f t="shared" si="9"/>
        <v>1020</v>
      </c>
      <c r="O85" s="4">
        <f t="shared" si="10"/>
        <v>260</v>
      </c>
      <c r="P85" s="5">
        <f t="shared" si="11"/>
        <v>0.25490196078431371</v>
      </c>
      <c r="Q85" s="3" t="str">
        <f t="shared" si="12"/>
        <v>Low_order</v>
      </c>
      <c r="R85" s="3" t="str">
        <f t="shared" si="13"/>
        <v>Senior</v>
      </c>
      <c r="S85" s="11" t="str">
        <f t="shared" si="14"/>
        <v>Low_profit</v>
      </c>
      <c r="T85" s="13" t="str">
        <f t="shared" si="15"/>
        <v>Dec</v>
      </c>
    </row>
    <row r="86" spans="1:20" x14ac:dyDescent="0.3">
      <c r="A86" s="9">
        <v>45450</v>
      </c>
      <c r="B86" s="3">
        <v>3085</v>
      </c>
      <c r="C86" s="3">
        <v>1015</v>
      </c>
      <c r="D86" s="3">
        <v>2031</v>
      </c>
      <c r="E86" s="3">
        <v>6</v>
      </c>
      <c r="F86" s="3">
        <f>VLOOKUP(Sheet1!$D86,Customers!$A$1:$D$51,2,TRUE)</f>
        <v>38</v>
      </c>
      <c r="G86" s="3" t="str">
        <f>VLOOKUP(Sheet1!$D86,Customers!$A$1:$D$51,3,TRUE)</f>
        <v>Male</v>
      </c>
      <c r="H86" s="3" t="str">
        <f>VLOOKUP(Sheet1!$D86,Customers!$A$1:$D$51,4,TRUE)</f>
        <v>Bangalore</v>
      </c>
      <c r="I86" s="3" t="str">
        <f>VLOOKUP($C86,Products!$A$1:$E$21,2,TRUE)</f>
        <v>Organizer</v>
      </c>
      <c r="J86" s="3" t="str">
        <f>VLOOKUP($C86,Products!$A$1:$E$21,3,TRUE)</f>
        <v>Office</v>
      </c>
      <c r="K86" s="4">
        <f>VLOOKUP($C86,Products!$A$1:$E$21,4,TRUE)</f>
        <v>70</v>
      </c>
      <c r="L86" s="4">
        <f>VLOOKUP($C86,Products!$A$1:$E$21,5,TRUE)</f>
        <v>210</v>
      </c>
      <c r="M86" s="4">
        <f t="shared" si="8"/>
        <v>420</v>
      </c>
      <c r="N86" s="4">
        <f t="shared" si="9"/>
        <v>1260</v>
      </c>
      <c r="O86" s="4">
        <f t="shared" si="10"/>
        <v>840</v>
      </c>
      <c r="P86" s="5">
        <f t="shared" si="11"/>
        <v>0.66666666666666663</v>
      </c>
      <c r="Q86" s="3" t="str">
        <f t="shared" si="12"/>
        <v>Low_order</v>
      </c>
      <c r="R86" s="3" t="str">
        <f t="shared" si="13"/>
        <v>Middle_age</v>
      </c>
      <c r="S86" s="11" t="str">
        <f t="shared" si="14"/>
        <v>High_profit</v>
      </c>
      <c r="T86" s="13" t="str">
        <f t="shared" si="15"/>
        <v>Jun</v>
      </c>
    </row>
    <row r="87" spans="1:20" x14ac:dyDescent="0.3">
      <c r="A87" s="9">
        <v>45427</v>
      </c>
      <c r="B87" s="3">
        <v>3086</v>
      </c>
      <c r="C87" s="3">
        <v>1001</v>
      </c>
      <c r="D87" s="3">
        <v>2038</v>
      </c>
      <c r="E87" s="3">
        <v>2</v>
      </c>
      <c r="F87" s="3">
        <f>VLOOKUP(Sheet1!$D87,Customers!$A$1:$D$51,2,TRUE)</f>
        <v>22</v>
      </c>
      <c r="G87" s="3" t="str">
        <f>VLOOKUP(Sheet1!$D87,Customers!$A$1:$D$51,3,TRUE)</f>
        <v>Male</v>
      </c>
      <c r="H87" s="3" t="str">
        <f>VLOOKUP(Sheet1!$D87,Customers!$A$1:$D$51,4,TRUE)</f>
        <v>Bangalore</v>
      </c>
      <c r="I87" s="3" t="str">
        <f>VLOOKUP($C87,Products!$A$1:$E$21,2,TRUE)</f>
        <v>Headphones</v>
      </c>
      <c r="J87" s="3" t="str">
        <f>VLOOKUP($C87,Products!$A$1:$E$21,3,TRUE)</f>
        <v>Electronics</v>
      </c>
      <c r="K87" s="4">
        <f>VLOOKUP($C87,Products!$A$1:$E$21,4,TRUE)</f>
        <v>380</v>
      </c>
      <c r="L87" s="4">
        <f>VLOOKUP($C87,Products!$A$1:$E$21,5,TRUE)</f>
        <v>550</v>
      </c>
      <c r="M87" s="4">
        <f t="shared" si="8"/>
        <v>760</v>
      </c>
      <c r="N87" s="4">
        <f t="shared" si="9"/>
        <v>1100</v>
      </c>
      <c r="O87" s="4">
        <f t="shared" si="10"/>
        <v>340</v>
      </c>
      <c r="P87" s="5">
        <f t="shared" si="11"/>
        <v>0.30909090909090908</v>
      </c>
      <c r="Q87" s="3" t="str">
        <f t="shared" si="12"/>
        <v>Low_order</v>
      </c>
      <c r="R87" s="3" t="str">
        <f t="shared" si="13"/>
        <v>Young</v>
      </c>
      <c r="S87" s="11" t="str">
        <f t="shared" si="14"/>
        <v>Low_profit</v>
      </c>
      <c r="T87" s="13" t="str">
        <f t="shared" si="15"/>
        <v>May</v>
      </c>
    </row>
    <row r="88" spans="1:20" x14ac:dyDescent="0.3">
      <c r="A88" s="9">
        <v>45396</v>
      </c>
      <c r="B88" s="3">
        <v>3087</v>
      </c>
      <c r="C88" s="3">
        <v>1010</v>
      </c>
      <c r="D88" s="3">
        <v>2047</v>
      </c>
      <c r="E88" s="3">
        <v>9</v>
      </c>
      <c r="F88" s="3">
        <f>VLOOKUP(Sheet1!$D88,Customers!$A$1:$D$51,2,TRUE)</f>
        <v>28</v>
      </c>
      <c r="G88" s="3" t="str">
        <f>VLOOKUP(Sheet1!$D88,Customers!$A$1:$D$51,3,TRUE)</f>
        <v>Male</v>
      </c>
      <c r="H88" s="3" t="str">
        <f>VLOOKUP(Sheet1!$D88,Customers!$A$1:$D$51,4,TRUE)</f>
        <v>Chandigarh</v>
      </c>
      <c r="I88" s="3" t="str">
        <f>VLOOKUP($C88,Products!$A$1:$E$21,2,TRUE)</f>
        <v>Laptop Sleeve</v>
      </c>
      <c r="J88" s="3" t="str">
        <f>VLOOKUP($C88,Products!$A$1:$E$21,3,TRUE)</f>
        <v>Accessories</v>
      </c>
      <c r="K88" s="4">
        <f>VLOOKUP($C88,Products!$A$1:$E$21,4,TRUE)</f>
        <v>290</v>
      </c>
      <c r="L88" s="4">
        <f>VLOOKUP($C88,Products!$A$1:$E$21,5,TRUE)</f>
        <v>470</v>
      </c>
      <c r="M88" s="4">
        <f t="shared" si="8"/>
        <v>2610</v>
      </c>
      <c r="N88" s="4">
        <f t="shared" si="9"/>
        <v>4230</v>
      </c>
      <c r="O88" s="4">
        <f t="shared" si="10"/>
        <v>1620</v>
      </c>
      <c r="P88" s="5">
        <f t="shared" si="11"/>
        <v>0.38297872340425532</v>
      </c>
      <c r="Q88" s="3" t="str">
        <f t="shared" si="12"/>
        <v>High_order</v>
      </c>
      <c r="R88" s="3" t="str">
        <f t="shared" si="13"/>
        <v>Young</v>
      </c>
      <c r="S88" s="11" t="str">
        <f t="shared" si="14"/>
        <v>Medium_profit</v>
      </c>
      <c r="T88" s="13" t="str">
        <f t="shared" si="15"/>
        <v>Apr</v>
      </c>
    </row>
    <row r="89" spans="1:20" x14ac:dyDescent="0.3">
      <c r="A89" s="9">
        <v>45467</v>
      </c>
      <c r="B89" s="3">
        <v>3088</v>
      </c>
      <c r="C89" s="3">
        <v>1005</v>
      </c>
      <c r="D89" s="3">
        <v>2015</v>
      </c>
      <c r="E89" s="3">
        <v>8</v>
      </c>
      <c r="F89" s="3">
        <f>VLOOKUP(Sheet1!$D89,Customers!$A$1:$D$51,2,TRUE)</f>
        <v>40</v>
      </c>
      <c r="G89" s="3" t="str">
        <f>VLOOKUP(Sheet1!$D89,Customers!$A$1:$D$51,3,TRUE)</f>
        <v>Male</v>
      </c>
      <c r="H89" s="3" t="str">
        <f>VLOOKUP(Sheet1!$D89,Customers!$A$1:$D$51,4,TRUE)</f>
        <v>Delhi</v>
      </c>
      <c r="I89" s="3" t="str">
        <f>VLOOKUP($C89,Products!$A$1:$E$21,2,TRUE)</f>
        <v>Webcam</v>
      </c>
      <c r="J89" s="3" t="str">
        <f>VLOOKUP($C89,Products!$A$1:$E$21,3,TRUE)</f>
        <v>Electronics</v>
      </c>
      <c r="K89" s="4">
        <f>VLOOKUP($C89,Products!$A$1:$E$21,4,TRUE)</f>
        <v>340</v>
      </c>
      <c r="L89" s="4">
        <f>VLOOKUP($C89,Products!$A$1:$E$21,5,TRUE)</f>
        <v>520</v>
      </c>
      <c r="M89" s="4">
        <f t="shared" si="8"/>
        <v>2720</v>
      </c>
      <c r="N89" s="4">
        <f t="shared" si="9"/>
        <v>4160</v>
      </c>
      <c r="O89" s="4">
        <f t="shared" si="10"/>
        <v>1440</v>
      </c>
      <c r="P89" s="5">
        <f t="shared" si="11"/>
        <v>0.34615384615384615</v>
      </c>
      <c r="Q89" s="3" t="str">
        <f t="shared" si="12"/>
        <v>High_order</v>
      </c>
      <c r="R89" s="3" t="str">
        <f t="shared" si="13"/>
        <v>Middle_age</v>
      </c>
      <c r="S89" s="11" t="str">
        <f t="shared" si="14"/>
        <v>Medium_profit</v>
      </c>
      <c r="T89" s="13" t="str">
        <f t="shared" si="15"/>
        <v>Jun</v>
      </c>
    </row>
    <row r="90" spans="1:20" x14ac:dyDescent="0.3">
      <c r="A90" s="9">
        <v>45531</v>
      </c>
      <c r="B90" s="3">
        <v>3089</v>
      </c>
      <c r="C90" s="3">
        <v>1017</v>
      </c>
      <c r="D90" s="3">
        <v>2049</v>
      </c>
      <c r="E90" s="3">
        <v>8</v>
      </c>
      <c r="F90" s="3">
        <f>VLOOKUP(Sheet1!$D90,Customers!$A$1:$D$51,2,TRUE)</f>
        <v>44</v>
      </c>
      <c r="G90" s="3" t="str">
        <f>VLOOKUP(Sheet1!$D90,Customers!$A$1:$D$51,3,TRUE)</f>
        <v>Female</v>
      </c>
      <c r="H90" s="3" t="str">
        <f>VLOOKUP(Sheet1!$D90,Customers!$A$1:$D$51,4,TRUE)</f>
        <v>Delhi</v>
      </c>
      <c r="I90" s="3" t="str">
        <f>VLOOKUP($C90,Products!$A$1:$E$21,2,TRUE)</f>
        <v>Dumbbells</v>
      </c>
      <c r="J90" s="3" t="str">
        <f>VLOOKUP($C90,Products!$A$1:$E$21,3,TRUE)</f>
        <v>Fitness</v>
      </c>
      <c r="K90" s="4">
        <f>VLOOKUP($C90,Products!$A$1:$E$21,4,TRUE)</f>
        <v>120</v>
      </c>
      <c r="L90" s="4">
        <f>VLOOKUP($C90,Products!$A$1:$E$21,5,TRUE)</f>
        <v>200</v>
      </c>
      <c r="M90" s="4">
        <f t="shared" si="8"/>
        <v>960</v>
      </c>
      <c r="N90" s="4">
        <f t="shared" si="9"/>
        <v>1600</v>
      </c>
      <c r="O90" s="4">
        <f t="shared" si="10"/>
        <v>640</v>
      </c>
      <c r="P90" s="5">
        <f t="shared" si="11"/>
        <v>0.4</v>
      </c>
      <c r="Q90" s="3" t="str">
        <f t="shared" si="12"/>
        <v>Medium_order</v>
      </c>
      <c r="R90" s="3" t="str">
        <f t="shared" si="13"/>
        <v>Senior</v>
      </c>
      <c r="S90" s="11" t="str">
        <f t="shared" si="14"/>
        <v>Medium_profit</v>
      </c>
      <c r="T90" s="13" t="str">
        <f t="shared" si="15"/>
        <v>Aug</v>
      </c>
    </row>
    <row r="91" spans="1:20" x14ac:dyDescent="0.3">
      <c r="A91" s="9">
        <v>45521</v>
      </c>
      <c r="B91" s="3">
        <v>3090</v>
      </c>
      <c r="C91" s="3">
        <v>1010</v>
      </c>
      <c r="D91" s="3">
        <v>2027</v>
      </c>
      <c r="E91" s="3">
        <v>4</v>
      </c>
      <c r="F91" s="3">
        <f>VLOOKUP(Sheet1!$D91,Customers!$A$1:$D$51,2,TRUE)</f>
        <v>27</v>
      </c>
      <c r="G91" s="3" t="str">
        <f>VLOOKUP(Sheet1!$D91,Customers!$A$1:$D$51,3,TRUE)</f>
        <v>Female</v>
      </c>
      <c r="H91" s="3" t="str">
        <f>VLOOKUP(Sheet1!$D91,Customers!$A$1:$D$51,4,TRUE)</f>
        <v>Chandigarh</v>
      </c>
      <c r="I91" s="3" t="str">
        <f>VLOOKUP($C91,Products!$A$1:$E$21,2,TRUE)</f>
        <v>Laptop Sleeve</v>
      </c>
      <c r="J91" s="3" t="str">
        <f>VLOOKUP($C91,Products!$A$1:$E$21,3,TRUE)</f>
        <v>Accessories</v>
      </c>
      <c r="K91" s="4">
        <f>VLOOKUP($C91,Products!$A$1:$E$21,4,TRUE)</f>
        <v>290</v>
      </c>
      <c r="L91" s="4">
        <f>VLOOKUP($C91,Products!$A$1:$E$21,5,TRUE)</f>
        <v>470</v>
      </c>
      <c r="M91" s="4">
        <f t="shared" si="8"/>
        <v>1160</v>
      </c>
      <c r="N91" s="4">
        <f t="shared" si="9"/>
        <v>1880</v>
      </c>
      <c r="O91" s="4">
        <f t="shared" si="10"/>
        <v>720</v>
      </c>
      <c r="P91" s="5">
        <f t="shared" si="11"/>
        <v>0.38297872340425532</v>
      </c>
      <c r="Q91" s="3" t="str">
        <f t="shared" si="12"/>
        <v>Medium_order</v>
      </c>
      <c r="R91" s="3" t="str">
        <f t="shared" si="13"/>
        <v>Young</v>
      </c>
      <c r="S91" s="11" t="str">
        <f t="shared" si="14"/>
        <v>Medium_profit</v>
      </c>
      <c r="T91" s="13" t="str">
        <f t="shared" si="15"/>
        <v>Aug</v>
      </c>
    </row>
    <row r="92" spans="1:20" x14ac:dyDescent="0.3">
      <c r="A92" s="9">
        <v>45631</v>
      </c>
      <c r="B92" s="3">
        <v>3091</v>
      </c>
      <c r="C92" s="3">
        <v>1018</v>
      </c>
      <c r="D92" s="3">
        <v>2002</v>
      </c>
      <c r="E92" s="3">
        <v>9</v>
      </c>
      <c r="F92" s="3">
        <f>VLOOKUP(Sheet1!$D92,Customers!$A$1:$D$51,2,TRUE)</f>
        <v>33</v>
      </c>
      <c r="G92" s="3" t="str">
        <f>VLOOKUP(Sheet1!$D92,Customers!$A$1:$D$51,3,TRUE)</f>
        <v>Male</v>
      </c>
      <c r="H92" s="3" t="str">
        <f>VLOOKUP(Sheet1!$D92,Customers!$A$1:$D$51,4,TRUE)</f>
        <v>Delhi</v>
      </c>
      <c r="I92" s="3" t="str">
        <f>VLOOKUP($C92,Products!$A$1:$E$21,2,TRUE)</f>
        <v>Resistance Band</v>
      </c>
      <c r="J92" s="3" t="str">
        <f>VLOOKUP($C92,Products!$A$1:$E$21,3,TRUE)</f>
        <v>Fitness</v>
      </c>
      <c r="K92" s="4">
        <f>VLOOKUP($C92,Products!$A$1:$E$21,4,TRUE)</f>
        <v>310</v>
      </c>
      <c r="L92" s="4">
        <f>VLOOKUP($C92,Products!$A$1:$E$21,5,TRUE)</f>
        <v>480</v>
      </c>
      <c r="M92" s="4">
        <f t="shared" si="8"/>
        <v>2790</v>
      </c>
      <c r="N92" s="4">
        <f t="shared" si="9"/>
        <v>4320</v>
      </c>
      <c r="O92" s="4">
        <f t="shared" si="10"/>
        <v>1530</v>
      </c>
      <c r="P92" s="5">
        <f t="shared" si="11"/>
        <v>0.35416666666666669</v>
      </c>
      <c r="Q92" s="3" t="str">
        <f t="shared" si="12"/>
        <v>High_order</v>
      </c>
      <c r="R92" s="3" t="str">
        <f t="shared" si="13"/>
        <v>Middle_age</v>
      </c>
      <c r="S92" s="11" t="str">
        <f t="shared" si="14"/>
        <v>Medium_profit</v>
      </c>
      <c r="T92" s="13" t="str">
        <f t="shared" si="15"/>
        <v>Dec</v>
      </c>
    </row>
    <row r="93" spans="1:20" x14ac:dyDescent="0.3">
      <c r="A93" s="9">
        <v>45400</v>
      </c>
      <c r="B93" s="3">
        <v>3092</v>
      </c>
      <c r="C93" s="3">
        <v>1014</v>
      </c>
      <c r="D93" s="3">
        <v>2009</v>
      </c>
      <c r="E93" s="3">
        <v>1</v>
      </c>
      <c r="F93" s="3">
        <f>VLOOKUP(Sheet1!$D93,Customers!$A$1:$D$51,2,TRUE)</f>
        <v>57</v>
      </c>
      <c r="G93" s="3" t="str">
        <f>VLOOKUP(Sheet1!$D93,Customers!$A$1:$D$51,3,TRUE)</f>
        <v>Female</v>
      </c>
      <c r="H93" s="3" t="str">
        <f>VLOOKUP(Sheet1!$D93,Customers!$A$1:$D$51,4,TRUE)</f>
        <v>Pune</v>
      </c>
      <c r="I93" s="3" t="str">
        <f>VLOOKUP($C93,Products!$A$1:$E$21,2,TRUE)</f>
        <v>Stapler</v>
      </c>
      <c r="J93" s="3" t="str">
        <f>VLOOKUP($C93,Products!$A$1:$E$21,3,TRUE)</f>
        <v>Office</v>
      </c>
      <c r="K93" s="4">
        <f>VLOOKUP($C93,Products!$A$1:$E$21,4,TRUE)</f>
        <v>170</v>
      </c>
      <c r="L93" s="4">
        <f>VLOOKUP($C93,Products!$A$1:$E$21,5,TRUE)</f>
        <v>280</v>
      </c>
      <c r="M93" s="4">
        <f t="shared" si="8"/>
        <v>170</v>
      </c>
      <c r="N93" s="4">
        <f t="shared" si="9"/>
        <v>280</v>
      </c>
      <c r="O93" s="4">
        <f t="shared" si="10"/>
        <v>110</v>
      </c>
      <c r="P93" s="5">
        <f t="shared" si="11"/>
        <v>0.39285714285714285</v>
      </c>
      <c r="Q93" s="3" t="str">
        <f t="shared" si="12"/>
        <v>Low_order</v>
      </c>
      <c r="R93" s="3" t="str">
        <f t="shared" si="13"/>
        <v>Senior</v>
      </c>
      <c r="S93" s="11" t="str">
        <f t="shared" si="14"/>
        <v>Medium_profit</v>
      </c>
      <c r="T93" s="13" t="str">
        <f t="shared" si="15"/>
        <v>Apr</v>
      </c>
    </row>
    <row r="94" spans="1:20" x14ac:dyDescent="0.3">
      <c r="A94" s="9">
        <v>45405</v>
      </c>
      <c r="B94" s="3">
        <v>3093</v>
      </c>
      <c r="C94" s="3">
        <v>1007</v>
      </c>
      <c r="D94" s="3">
        <v>2014</v>
      </c>
      <c r="E94" s="3">
        <v>5</v>
      </c>
      <c r="F94" s="3">
        <f>VLOOKUP(Sheet1!$D94,Customers!$A$1:$D$51,2,TRUE)</f>
        <v>58</v>
      </c>
      <c r="G94" s="3" t="str">
        <f>VLOOKUP(Sheet1!$D94,Customers!$A$1:$D$51,3,TRUE)</f>
        <v>Female</v>
      </c>
      <c r="H94" s="3" t="str">
        <f>VLOOKUP(Sheet1!$D94,Customers!$A$1:$D$51,4,TRUE)</f>
        <v>Chandigarh</v>
      </c>
      <c r="I94" s="3" t="str">
        <f>VLOOKUP($C94,Products!$A$1:$E$21,2,TRUE)</f>
        <v>Charger</v>
      </c>
      <c r="J94" s="3" t="str">
        <f>VLOOKUP($C94,Products!$A$1:$E$21,3,TRUE)</f>
        <v>Accessories</v>
      </c>
      <c r="K94" s="4">
        <f>VLOOKUP($C94,Products!$A$1:$E$21,4,TRUE)</f>
        <v>160</v>
      </c>
      <c r="L94" s="4">
        <f>VLOOKUP($C94,Products!$A$1:$E$21,5,TRUE)</f>
        <v>230</v>
      </c>
      <c r="M94" s="4">
        <f t="shared" si="8"/>
        <v>800</v>
      </c>
      <c r="N94" s="4">
        <f t="shared" si="9"/>
        <v>1150</v>
      </c>
      <c r="O94" s="4">
        <f t="shared" si="10"/>
        <v>350</v>
      </c>
      <c r="P94" s="5">
        <f t="shared" si="11"/>
        <v>0.30434782608695654</v>
      </c>
      <c r="Q94" s="3" t="str">
        <f t="shared" si="12"/>
        <v>Low_order</v>
      </c>
      <c r="R94" s="3" t="str">
        <f t="shared" si="13"/>
        <v>Senior</v>
      </c>
      <c r="S94" s="11" t="str">
        <f t="shared" si="14"/>
        <v>Low_profit</v>
      </c>
      <c r="T94" s="13" t="str">
        <f t="shared" si="15"/>
        <v>Apr</v>
      </c>
    </row>
    <row r="95" spans="1:20" x14ac:dyDescent="0.3">
      <c r="A95" s="9">
        <v>45584</v>
      </c>
      <c r="B95" s="3">
        <v>3094</v>
      </c>
      <c r="C95" s="3">
        <v>1019</v>
      </c>
      <c r="D95" s="3">
        <v>2006</v>
      </c>
      <c r="E95" s="3">
        <v>4</v>
      </c>
      <c r="F95" s="3">
        <f>VLOOKUP(Sheet1!$D95,Customers!$A$1:$D$51,2,TRUE)</f>
        <v>32</v>
      </c>
      <c r="G95" s="3" t="str">
        <f>VLOOKUP(Sheet1!$D95,Customers!$A$1:$D$51,3,TRUE)</f>
        <v>Male</v>
      </c>
      <c r="H95" s="3" t="str">
        <f>VLOOKUP(Sheet1!$D95,Customers!$A$1:$D$51,4,TRUE)</f>
        <v>Hyderabad</v>
      </c>
      <c r="I95" s="3" t="str">
        <f>VLOOKUP($C95,Products!$A$1:$E$21,2,TRUE)</f>
        <v>Skipping Rope</v>
      </c>
      <c r="J95" s="3" t="str">
        <f>VLOOKUP($C95,Products!$A$1:$E$21,3,TRUE)</f>
        <v>Fitness</v>
      </c>
      <c r="K95" s="4">
        <f>VLOOKUP($C95,Products!$A$1:$E$21,4,TRUE)</f>
        <v>140</v>
      </c>
      <c r="L95" s="4">
        <f>VLOOKUP($C95,Products!$A$1:$E$21,5,TRUE)</f>
        <v>270</v>
      </c>
      <c r="M95" s="4">
        <f t="shared" si="8"/>
        <v>560</v>
      </c>
      <c r="N95" s="4">
        <f t="shared" si="9"/>
        <v>1080</v>
      </c>
      <c r="O95" s="4">
        <f t="shared" si="10"/>
        <v>520</v>
      </c>
      <c r="P95" s="5">
        <f t="shared" si="11"/>
        <v>0.48148148148148145</v>
      </c>
      <c r="Q95" s="3" t="str">
        <f t="shared" si="12"/>
        <v>Low_order</v>
      </c>
      <c r="R95" s="3" t="str">
        <f t="shared" si="13"/>
        <v>Middle_age</v>
      </c>
      <c r="S95" s="11" t="str">
        <f t="shared" si="14"/>
        <v>High_profit</v>
      </c>
      <c r="T95" s="13" t="str">
        <f t="shared" si="15"/>
        <v>Oct</v>
      </c>
    </row>
    <row r="96" spans="1:20" x14ac:dyDescent="0.3">
      <c r="A96" s="9">
        <v>45433</v>
      </c>
      <c r="B96" s="3">
        <v>3095</v>
      </c>
      <c r="C96" s="3">
        <v>1016</v>
      </c>
      <c r="D96" s="3">
        <v>2050</v>
      </c>
      <c r="E96" s="3">
        <v>8</v>
      </c>
      <c r="F96" s="3">
        <f>VLOOKUP(Sheet1!$D96,Customers!$A$1:$D$51,2,TRUE)</f>
        <v>54</v>
      </c>
      <c r="G96" s="3" t="str">
        <f>VLOOKUP(Sheet1!$D96,Customers!$A$1:$D$51,3,TRUE)</f>
        <v>Female</v>
      </c>
      <c r="H96" s="3" t="str">
        <f>VLOOKUP(Sheet1!$D96,Customers!$A$1:$D$51,4,TRUE)</f>
        <v>Delhi</v>
      </c>
      <c r="I96" s="3" t="str">
        <f>VLOOKUP($C96,Products!$A$1:$E$21,2,TRUE)</f>
        <v>Yoga Mat</v>
      </c>
      <c r="J96" s="3" t="str">
        <f>VLOOKUP($C96,Products!$A$1:$E$21,3,TRUE)</f>
        <v>Fitness</v>
      </c>
      <c r="K96" s="4">
        <f>VLOOKUP($C96,Products!$A$1:$E$21,4,TRUE)</f>
        <v>330</v>
      </c>
      <c r="L96" s="4">
        <f>VLOOKUP($C96,Products!$A$1:$E$21,5,TRUE)</f>
        <v>490</v>
      </c>
      <c r="M96" s="4">
        <f t="shared" si="8"/>
        <v>2640</v>
      </c>
      <c r="N96" s="4">
        <f t="shared" si="9"/>
        <v>3920</v>
      </c>
      <c r="O96" s="4">
        <f t="shared" si="10"/>
        <v>1280</v>
      </c>
      <c r="P96" s="5">
        <f t="shared" si="11"/>
        <v>0.32653061224489793</v>
      </c>
      <c r="Q96" s="3" t="str">
        <f t="shared" si="12"/>
        <v>High_order</v>
      </c>
      <c r="R96" s="3" t="str">
        <f t="shared" si="13"/>
        <v>Senior</v>
      </c>
      <c r="S96" s="11" t="str">
        <f t="shared" si="14"/>
        <v>Medium_profit</v>
      </c>
      <c r="T96" s="13" t="str">
        <f t="shared" si="15"/>
        <v>May</v>
      </c>
    </row>
    <row r="97" spans="1:20" x14ac:dyDescent="0.3">
      <c r="A97" s="9">
        <v>45590</v>
      </c>
      <c r="B97" s="3">
        <v>3096</v>
      </c>
      <c r="C97" s="3">
        <v>1008</v>
      </c>
      <c r="D97" s="3">
        <v>2050</v>
      </c>
      <c r="E97" s="3">
        <v>10</v>
      </c>
      <c r="F97" s="3">
        <f>VLOOKUP(Sheet1!$D97,Customers!$A$1:$D$51,2,TRUE)</f>
        <v>54</v>
      </c>
      <c r="G97" s="3" t="str">
        <f>VLOOKUP(Sheet1!$D97,Customers!$A$1:$D$51,3,TRUE)</f>
        <v>Female</v>
      </c>
      <c r="H97" s="3" t="str">
        <f>VLOOKUP(Sheet1!$D97,Customers!$A$1:$D$51,4,TRUE)</f>
        <v>Delhi</v>
      </c>
      <c r="I97" s="3" t="str">
        <f>VLOOKUP($C97,Products!$A$1:$E$21,2,TRUE)</f>
        <v>USB Cable</v>
      </c>
      <c r="J97" s="3" t="str">
        <f>VLOOKUP($C97,Products!$A$1:$E$21,3,TRUE)</f>
        <v>Accessories</v>
      </c>
      <c r="K97" s="4">
        <f>VLOOKUP($C97,Products!$A$1:$E$21,4,TRUE)</f>
        <v>340</v>
      </c>
      <c r="L97" s="4">
        <f>VLOOKUP($C97,Products!$A$1:$E$21,5,TRUE)</f>
        <v>430</v>
      </c>
      <c r="M97" s="4">
        <f t="shared" si="8"/>
        <v>3400</v>
      </c>
      <c r="N97" s="4">
        <f t="shared" si="9"/>
        <v>4300</v>
      </c>
      <c r="O97" s="4">
        <f t="shared" si="10"/>
        <v>900</v>
      </c>
      <c r="P97" s="5">
        <f t="shared" si="11"/>
        <v>0.20930232558139536</v>
      </c>
      <c r="Q97" s="3" t="str">
        <f t="shared" si="12"/>
        <v>High_order</v>
      </c>
      <c r="R97" s="3" t="str">
        <f t="shared" si="13"/>
        <v>Senior</v>
      </c>
      <c r="S97" s="11" t="str">
        <f t="shared" si="14"/>
        <v>Low_profit</v>
      </c>
      <c r="T97" s="13" t="str">
        <f t="shared" si="15"/>
        <v>Oct</v>
      </c>
    </row>
    <row r="98" spans="1:20" x14ac:dyDescent="0.3">
      <c r="A98" s="9">
        <v>45352</v>
      </c>
      <c r="B98" s="3">
        <v>3097</v>
      </c>
      <c r="C98" s="3">
        <v>1013</v>
      </c>
      <c r="D98" s="3">
        <v>2048</v>
      </c>
      <c r="E98" s="3">
        <v>7</v>
      </c>
      <c r="F98" s="3">
        <f>VLOOKUP(Sheet1!$D98,Customers!$A$1:$D$51,2,TRUE)</f>
        <v>41</v>
      </c>
      <c r="G98" s="3" t="str">
        <f>VLOOKUP(Sheet1!$D98,Customers!$A$1:$D$51,3,TRUE)</f>
        <v>Female</v>
      </c>
      <c r="H98" s="3" t="str">
        <f>VLOOKUP(Sheet1!$D98,Customers!$A$1:$D$51,4,TRUE)</f>
        <v>Mumbai</v>
      </c>
      <c r="I98" s="3" t="str">
        <f>VLOOKUP($C98,Products!$A$1:$E$21,2,TRUE)</f>
        <v>Desk Lamp</v>
      </c>
      <c r="J98" s="3" t="str">
        <f>VLOOKUP($C98,Products!$A$1:$E$21,3,TRUE)</f>
        <v>Office</v>
      </c>
      <c r="K98" s="4">
        <f>VLOOKUP($C98,Products!$A$1:$E$21,4,TRUE)</f>
        <v>140</v>
      </c>
      <c r="L98" s="4">
        <f>VLOOKUP($C98,Products!$A$1:$E$21,5,TRUE)</f>
        <v>390</v>
      </c>
      <c r="M98" s="4">
        <f t="shared" si="8"/>
        <v>980</v>
      </c>
      <c r="N98" s="4">
        <f t="shared" si="9"/>
        <v>2730</v>
      </c>
      <c r="O98" s="4">
        <f t="shared" si="10"/>
        <v>1750</v>
      </c>
      <c r="P98" s="5">
        <f t="shared" si="11"/>
        <v>0.64102564102564108</v>
      </c>
      <c r="Q98" s="3" t="str">
        <f t="shared" si="12"/>
        <v>High_order</v>
      </c>
      <c r="R98" s="3" t="str">
        <f t="shared" si="13"/>
        <v>Senior</v>
      </c>
      <c r="S98" s="11" t="str">
        <f t="shared" si="14"/>
        <v>High_profit</v>
      </c>
      <c r="T98" s="13" t="str">
        <f t="shared" si="15"/>
        <v>Mar</v>
      </c>
    </row>
    <row r="99" spans="1:20" x14ac:dyDescent="0.3">
      <c r="A99" s="9">
        <v>45405</v>
      </c>
      <c r="B99" s="3">
        <v>3098</v>
      </c>
      <c r="C99" s="3">
        <v>1003</v>
      </c>
      <c r="D99" s="3">
        <v>2008</v>
      </c>
      <c r="E99" s="3">
        <v>1</v>
      </c>
      <c r="F99" s="3">
        <f>VLOOKUP(Sheet1!$D99,Customers!$A$1:$D$51,2,TRUE)</f>
        <v>36</v>
      </c>
      <c r="G99" s="3" t="str">
        <f>VLOOKUP(Sheet1!$D99,Customers!$A$1:$D$51,3,TRUE)</f>
        <v>Male</v>
      </c>
      <c r="H99" s="3" t="str">
        <f>VLOOKUP(Sheet1!$D99,Customers!$A$1:$D$51,4,TRUE)</f>
        <v>Mumbai</v>
      </c>
      <c r="I99" s="3" t="str">
        <f>VLOOKUP($C99,Products!$A$1:$E$21,2,TRUE)</f>
        <v>Mouse</v>
      </c>
      <c r="J99" s="3" t="str">
        <f>VLOOKUP($C99,Products!$A$1:$E$21,3,TRUE)</f>
        <v>Electronics</v>
      </c>
      <c r="K99" s="4">
        <f>VLOOKUP($C99,Products!$A$1:$E$21,4,TRUE)</f>
        <v>140</v>
      </c>
      <c r="L99" s="4">
        <f>VLOOKUP($C99,Products!$A$1:$E$21,5,TRUE)</f>
        <v>350</v>
      </c>
      <c r="M99" s="4">
        <f t="shared" si="8"/>
        <v>140</v>
      </c>
      <c r="N99" s="4">
        <f t="shared" si="9"/>
        <v>350</v>
      </c>
      <c r="O99" s="4">
        <f t="shared" si="10"/>
        <v>210</v>
      </c>
      <c r="P99" s="5">
        <f t="shared" si="11"/>
        <v>0.6</v>
      </c>
      <c r="Q99" s="3" t="str">
        <f t="shared" si="12"/>
        <v>Low_order</v>
      </c>
      <c r="R99" s="3" t="str">
        <f t="shared" si="13"/>
        <v>Middle_age</v>
      </c>
      <c r="S99" s="11" t="str">
        <f t="shared" si="14"/>
        <v>High_profit</v>
      </c>
      <c r="T99" s="13" t="str">
        <f t="shared" si="15"/>
        <v>Apr</v>
      </c>
    </row>
    <row r="100" spans="1:20" x14ac:dyDescent="0.3">
      <c r="A100" s="9">
        <v>45421</v>
      </c>
      <c r="B100" s="3">
        <v>3099</v>
      </c>
      <c r="C100" s="3">
        <v>1001</v>
      </c>
      <c r="D100" s="3">
        <v>2008</v>
      </c>
      <c r="E100" s="3">
        <v>1</v>
      </c>
      <c r="F100" s="3">
        <f>VLOOKUP(Sheet1!$D100,Customers!$A$1:$D$51,2,TRUE)</f>
        <v>36</v>
      </c>
      <c r="G100" s="3" t="str">
        <f>VLOOKUP(Sheet1!$D100,Customers!$A$1:$D$51,3,TRUE)</f>
        <v>Male</v>
      </c>
      <c r="H100" s="3" t="str">
        <f>VLOOKUP(Sheet1!$D100,Customers!$A$1:$D$51,4,TRUE)</f>
        <v>Mumbai</v>
      </c>
      <c r="I100" s="3" t="str">
        <f>VLOOKUP($C100,Products!$A$1:$E$21,2,TRUE)</f>
        <v>Headphones</v>
      </c>
      <c r="J100" s="3" t="str">
        <f>VLOOKUP($C100,Products!$A$1:$E$21,3,TRUE)</f>
        <v>Electronics</v>
      </c>
      <c r="K100" s="4">
        <f>VLOOKUP($C100,Products!$A$1:$E$21,4,TRUE)</f>
        <v>380</v>
      </c>
      <c r="L100" s="4">
        <f>VLOOKUP($C100,Products!$A$1:$E$21,5,TRUE)</f>
        <v>550</v>
      </c>
      <c r="M100" s="4">
        <f t="shared" si="8"/>
        <v>380</v>
      </c>
      <c r="N100" s="4">
        <f t="shared" si="9"/>
        <v>550</v>
      </c>
      <c r="O100" s="4">
        <f t="shared" si="10"/>
        <v>170</v>
      </c>
      <c r="P100" s="5">
        <f t="shared" si="11"/>
        <v>0.30909090909090908</v>
      </c>
      <c r="Q100" s="3" t="str">
        <f t="shared" si="12"/>
        <v>Low_order</v>
      </c>
      <c r="R100" s="3" t="str">
        <f t="shared" si="13"/>
        <v>Middle_age</v>
      </c>
      <c r="S100" s="11" t="str">
        <f t="shared" si="14"/>
        <v>Low_profit</v>
      </c>
      <c r="T100" s="13" t="str">
        <f t="shared" si="15"/>
        <v>May</v>
      </c>
    </row>
    <row r="101" spans="1:20" x14ac:dyDescent="0.3">
      <c r="A101" s="9">
        <v>45480</v>
      </c>
      <c r="B101" s="3">
        <v>3100</v>
      </c>
      <c r="C101" s="3">
        <v>1009</v>
      </c>
      <c r="D101" s="3">
        <v>2043</v>
      </c>
      <c r="E101" s="3">
        <v>3</v>
      </c>
      <c r="F101" s="3">
        <f>VLOOKUP(Sheet1!$D101,Customers!$A$1:$D$51,2,TRUE)</f>
        <v>44</v>
      </c>
      <c r="G101" s="3" t="str">
        <f>VLOOKUP(Sheet1!$D101,Customers!$A$1:$D$51,3,TRUE)</f>
        <v>Male</v>
      </c>
      <c r="H101" s="3" t="str">
        <f>VLOOKUP(Sheet1!$D101,Customers!$A$1:$D$51,4,TRUE)</f>
        <v>Delhi</v>
      </c>
      <c r="I101" s="3" t="str">
        <f>VLOOKUP($C101,Products!$A$1:$E$21,2,TRUE)</f>
        <v>Power Bank</v>
      </c>
      <c r="J101" s="3" t="str">
        <f>VLOOKUP($C101,Products!$A$1:$E$21,3,TRUE)</f>
        <v>Accessories</v>
      </c>
      <c r="K101" s="4">
        <f>VLOOKUP($C101,Products!$A$1:$E$21,4,TRUE)</f>
        <v>50</v>
      </c>
      <c r="L101" s="4">
        <f>VLOOKUP($C101,Products!$A$1:$E$21,5,TRUE)</f>
        <v>220</v>
      </c>
      <c r="M101" s="4">
        <f t="shared" si="8"/>
        <v>150</v>
      </c>
      <c r="N101" s="4">
        <f t="shared" si="9"/>
        <v>660</v>
      </c>
      <c r="O101" s="4">
        <f t="shared" si="10"/>
        <v>510</v>
      </c>
      <c r="P101" s="5">
        <f t="shared" si="11"/>
        <v>0.77272727272727271</v>
      </c>
      <c r="Q101" s="3" t="str">
        <f t="shared" si="12"/>
        <v>Low_order</v>
      </c>
      <c r="R101" s="3" t="str">
        <f t="shared" si="13"/>
        <v>Senior</v>
      </c>
      <c r="S101" s="11" t="str">
        <f t="shared" si="14"/>
        <v>High_profit</v>
      </c>
      <c r="T101" s="13" t="str">
        <f t="shared" si="15"/>
        <v>Jul</v>
      </c>
    </row>
    <row r="102" spans="1:20" x14ac:dyDescent="0.3">
      <c r="A102" s="9">
        <v>45296</v>
      </c>
      <c r="B102" s="3">
        <v>3101</v>
      </c>
      <c r="C102" s="3">
        <v>1010</v>
      </c>
      <c r="D102" s="3">
        <v>2029</v>
      </c>
      <c r="E102" s="3">
        <v>7</v>
      </c>
      <c r="F102" s="3">
        <f>VLOOKUP(Sheet1!$D102,Customers!$A$1:$D$51,2,TRUE)</f>
        <v>53</v>
      </c>
      <c r="G102" s="3" t="str">
        <f>VLOOKUP(Sheet1!$D102,Customers!$A$1:$D$51,3,TRUE)</f>
        <v>Male</v>
      </c>
      <c r="H102" s="3" t="str">
        <f>VLOOKUP(Sheet1!$D102,Customers!$A$1:$D$51,4,TRUE)</f>
        <v>Delhi</v>
      </c>
      <c r="I102" s="3" t="str">
        <f>VLOOKUP($C102,Products!$A$1:$E$21,2,TRUE)</f>
        <v>Laptop Sleeve</v>
      </c>
      <c r="J102" s="3" t="str">
        <f>VLOOKUP($C102,Products!$A$1:$E$21,3,TRUE)</f>
        <v>Accessories</v>
      </c>
      <c r="K102" s="4">
        <f>VLOOKUP($C102,Products!$A$1:$E$21,4,TRUE)</f>
        <v>290</v>
      </c>
      <c r="L102" s="4">
        <f>VLOOKUP($C102,Products!$A$1:$E$21,5,TRUE)</f>
        <v>470</v>
      </c>
      <c r="M102" s="4">
        <f t="shared" si="8"/>
        <v>2030</v>
      </c>
      <c r="N102" s="4">
        <f t="shared" si="9"/>
        <v>3290</v>
      </c>
      <c r="O102" s="4">
        <f t="shared" si="10"/>
        <v>1260</v>
      </c>
      <c r="P102" s="5">
        <f t="shared" si="11"/>
        <v>0.38297872340425532</v>
      </c>
      <c r="Q102" s="3" t="str">
        <f t="shared" si="12"/>
        <v>High_order</v>
      </c>
      <c r="R102" s="3" t="str">
        <f t="shared" si="13"/>
        <v>Senior</v>
      </c>
      <c r="S102" s="11" t="str">
        <f t="shared" si="14"/>
        <v>Medium_profit</v>
      </c>
      <c r="T102" s="13" t="str">
        <f t="shared" si="15"/>
        <v>Jan</v>
      </c>
    </row>
    <row r="103" spans="1:20" x14ac:dyDescent="0.3">
      <c r="A103" s="9">
        <v>45568</v>
      </c>
      <c r="B103" s="3">
        <v>3102</v>
      </c>
      <c r="C103" s="3">
        <v>1016</v>
      </c>
      <c r="D103" s="3">
        <v>2036</v>
      </c>
      <c r="E103" s="3">
        <v>6</v>
      </c>
      <c r="F103" s="3">
        <f>VLOOKUP(Sheet1!$D103,Customers!$A$1:$D$51,2,TRUE)</f>
        <v>30</v>
      </c>
      <c r="G103" s="3" t="str">
        <f>VLOOKUP(Sheet1!$D103,Customers!$A$1:$D$51,3,TRUE)</f>
        <v>Male</v>
      </c>
      <c r="H103" s="3" t="str">
        <f>VLOOKUP(Sheet1!$D103,Customers!$A$1:$D$51,4,TRUE)</f>
        <v>Delhi</v>
      </c>
      <c r="I103" s="3" t="str">
        <f>VLOOKUP($C103,Products!$A$1:$E$21,2,TRUE)</f>
        <v>Yoga Mat</v>
      </c>
      <c r="J103" s="3" t="str">
        <f>VLOOKUP($C103,Products!$A$1:$E$21,3,TRUE)</f>
        <v>Fitness</v>
      </c>
      <c r="K103" s="4">
        <f>VLOOKUP($C103,Products!$A$1:$E$21,4,TRUE)</f>
        <v>330</v>
      </c>
      <c r="L103" s="4">
        <f>VLOOKUP($C103,Products!$A$1:$E$21,5,TRUE)</f>
        <v>490</v>
      </c>
      <c r="M103" s="4">
        <f t="shared" si="8"/>
        <v>1980</v>
      </c>
      <c r="N103" s="4">
        <f t="shared" si="9"/>
        <v>2940</v>
      </c>
      <c r="O103" s="4">
        <f t="shared" si="10"/>
        <v>960</v>
      </c>
      <c r="P103" s="5">
        <f t="shared" si="11"/>
        <v>0.32653061224489793</v>
      </c>
      <c r="Q103" s="3" t="str">
        <f t="shared" si="12"/>
        <v>High_order</v>
      </c>
      <c r="R103" s="3" t="str">
        <f t="shared" si="13"/>
        <v>Young</v>
      </c>
      <c r="S103" s="11" t="str">
        <f t="shared" si="14"/>
        <v>Medium_profit</v>
      </c>
      <c r="T103" s="13" t="str">
        <f t="shared" si="15"/>
        <v>Oct</v>
      </c>
    </row>
    <row r="104" spans="1:20" x14ac:dyDescent="0.3">
      <c r="A104" s="9">
        <v>45618</v>
      </c>
      <c r="B104" s="3">
        <v>3103</v>
      </c>
      <c r="C104" s="3">
        <v>1010</v>
      </c>
      <c r="D104" s="3">
        <v>2031</v>
      </c>
      <c r="E104" s="3">
        <v>2</v>
      </c>
      <c r="F104" s="3">
        <f>VLOOKUP(Sheet1!$D104,Customers!$A$1:$D$51,2,TRUE)</f>
        <v>38</v>
      </c>
      <c r="G104" s="3" t="str">
        <f>VLOOKUP(Sheet1!$D104,Customers!$A$1:$D$51,3,TRUE)</f>
        <v>Male</v>
      </c>
      <c r="H104" s="3" t="str">
        <f>VLOOKUP(Sheet1!$D104,Customers!$A$1:$D$51,4,TRUE)</f>
        <v>Bangalore</v>
      </c>
      <c r="I104" s="3" t="str">
        <f>VLOOKUP($C104,Products!$A$1:$E$21,2,TRUE)</f>
        <v>Laptop Sleeve</v>
      </c>
      <c r="J104" s="3" t="str">
        <f>VLOOKUP($C104,Products!$A$1:$E$21,3,TRUE)</f>
        <v>Accessories</v>
      </c>
      <c r="K104" s="4">
        <f>VLOOKUP($C104,Products!$A$1:$E$21,4,TRUE)</f>
        <v>290</v>
      </c>
      <c r="L104" s="4">
        <f>VLOOKUP($C104,Products!$A$1:$E$21,5,TRUE)</f>
        <v>470</v>
      </c>
      <c r="M104" s="4">
        <f t="shared" si="8"/>
        <v>580</v>
      </c>
      <c r="N104" s="4">
        <f t="shared" si="9"/>
        <v>940</v>
      </c>
      <c r="O104" s="4">
        <f t="shared" si="10"/>
        <v>360</v>
      </c>
      <c r="P104" s="5">
        <f t="shared" si="11"/>
        <v>0.38297872340425532</v>
      </c>
      <c r="Q104" s="3" t="str">
        <f t="shared" si="12"/>
        <v>Low_order</v>
      </c>
      <c r="R104" s="3" t="str">
        <f t="shared" si="13"/>
        <v>Middle_age</v>
      </c>
      <c r="S104" s="11" t="str">
        <f t="shared" si="14"/>
        <v>Medium_profit</v>
      </c>
      <c r="T104" s="13" t="str">
        <f t="shared" si="15"/>
        <v>Nov</v>
      </c>
    </row>
    <row r="105" spans="1:20" x14ac:dyDescent="0.3">
      <c r="A105" s="9">
        <v>45355</v>
      </c>
      <c r="B105" s="3">
        <v>3104</v>
      </c>
      <c r="C105" s="3">
        <v>1001</v>
      </c>
      <c r="D105" s="3">
        <v>2046</v>
      </c>
      <c r="E105" s="3">
        <v>10</v>
      </c>
      <c r="F105" s="3">
        <f>VLOOKUP(Sheet1!$D105,Customers!$A$1:$D$51,2,TRUE)</f>
        <v>52</v>
      </c>
      <c r="G105" s="3" t="str">
        <f>VLOOKUP(Sheet1!$D105,Customers!$A$1:$D$51,3,TRUE)</f>
        <v>Male</v>
      </c>
      <c r="H105" s="3" t="str">
        <f>VLOOKUP(Sheet1!$D105,Customers!$A$1:$D$51,4,TRUE)</f>
        <v>Pune</v>
      </c>
      <c r="I105" s="3" t="str">
        <f>VLOOKUP($C105,Products!$A$1:$E$21,2,TRUE)</f>
        <v>Headphones</v>
      </c>
      <c r="J105" s="3" t="str">
        <f>VLOOKUP($C105,Products!$A$1:$E$21,3,TRUE)</f>
        <v>Electronics</v>
      </c>
      <c r="K105" s="4">
        <f>VLOOKUP($C105,Products!$A$1:$E$21,4,TRUE)</f>
        <v>380</v>
      </c>
      <c r="L105" s="4">
        <f>VLOOKUP($C105,Products!$A$1:$E$21,5,TRUE)</f>
        <v>550</v>
      </c>
      <c r="M105" s="4">
        <f t="shared" si="8"/>
        <v>3800</v>
      </c>
      <c r="N105" s="4">
        <f t="shared" si="9"/>
        <v>5500</v>
      </c>
      <c r="O105" s="4">
        <f t="shared" si="10"/>
        <v>1700</v>
      </c>
      <c r="P105" s="5">
        <f t="shared" si="11"/>
        <v>0.30909090909090908</v>
      </c>
      <c r="Q105" s="3" t="str">
        <f t="shared" si="12"/>
        <v>High_order</v>
      </c>
      <c r="R105" s="3" t="str">
        <f t="shared" si="13"/>
        <v>Senior</v>
      </c>
      <c r="S105" s="11" t="str">
        <f t="shared" si="14"/>
        <v>Low_profit</v>
      </c>
      <c r="T105" s="13" t="str">
        <f t="shared" si="15"/>
        <v>Mar</v>
      </c>
    </row>
    <row r="106" spans="1:20" x14ac:dyDescent="0.3">
      <c r="A106" s="9">
        <v>45457</v>
      </c>
      <c r="B106" s="3">
        <v>3105</v>
      </c>
      <c r="C106" s="3">
        <v>1004</v>
      </c>
      <c r="D106" s="3">
        <v>2006</v>
      </c>
      <c r="E106" s="3">
        <v>7</v>
      </c>
      <c r="F106" s="3">
        <f>VLOOKUP(Sheet1!$D106,Customers!$A$1:$D$51,2,TRUE)</f>
        <v>32</v>
      </c>
      <c r="G106" s="3" t="str">
        <f>VLOOKUP(Sheet1!$D106,Customers!$A$1:$D$51,3,TRUE)</f>
        <v>Male</v>
      </c>
      <c r="H106" s="3" t="str">
        <f>VLOOKUP(Sheet1!$D106,Customers!$A$1:$D$51,4,TRUE)</f>
        <v>Hyderabad</v>
      </c>
      <c r="I106" s="3" t="str">
        <f>VLOOKUP($C106,Products!$A$1:$E$21,2,TRUE)</f>
        <v>Speaker</v>
      </c>
      <c r="J106" s="3" t="str">
        <f>VLOOKUP($C106,Products!$A$1:$E$21,3,TRUE)</f>
        <v>Electronics</v>
      </c>
      <c r="K106" s="4">
        <f>VLOOKUP($C106,Products!$A$1:$E$21,4,TRUE)</f>
        <v>230</v>
      </c>
      <c r="L106" s="4">
        <f>VLOOKUP($C106,Products!$A$1:$E$21,5,TRUE)</f>
        <v>440</v>
      </c>
      <c r="M106" s="4">
        <f t="shared" si="8"/>
        <v>1610</v>
      </c>
      <c r="N106" s="4">
        <f t="shared" si="9"/>
        <v>3080</v>
      </c>
      <c r="O106" s="4">
        <f t="shared" si="10"/>
        <v>1470</v>
      </c>
      <c r="P106" s="5">
        <f t="shared" si="11"/>
        <v>0.47727272727272729</v>
      </c>
      <c r="Q106" s="3" t="str">
        <f t="shared" si="12"/>
        <v>High_order</v>
      </c>
      <c r="R106" s="3" t="str">
        <f t="shared" si="13"/>
        <v>Middle_age</v>
      </c>
      <c r="S106" s="11" t="str">
        <f t="shared" si="14"/>
        <v>High_profit</v>
      </c>
      <c r="T106" s="13" t="str">
        <f t="shared" si="15"/>
        <v>Jun</v>
      </c>
    </row>
    <row r="107" spans="1:20" x14ac:dyDescent="0.3">
      <c r="A107" s="9">
        <v>45531</v>
      </c>
      <c r="B107" s="3">
        <v>3106</v>
      </c>
      <c r="C107" s="3">
        <v>1012</v>
      </c>
      <c r="D107" s="3">
        <v>2043</v>
      </c>
      <c r="E107" s="3">
        <v>7</v>
      </c>
      <c r="F107" s="3">
        <f>VLOOKUP(Sheet1!$D107,Customers!$A$1:$D$51,2,TRUE)</f>
        <v>44</v>
      </c>
      <c r="G107" s="3" t="str">
        <f>VLOOKUP(Sheet1!$D107,Customers!$A$1:$D$51,3,TRUE)</f>
        <v>Male</v>
      </c>
      <c r="H107" s="3" t="str">
        <f>VLOOKUP(Sheet1!$D107,Customers!$A$1:$D$51,4,TRUE)</f>
        <v>Delhi</v>
      </c>
      <c r="I107" s="3" t="str">
        <f>VLOOKUP($C107,Products!$A$1:$E$21,2,TRUE)</f>
        <v>Pen Set</v>
      </c>
      <c r="J107" s="3" t="str">
        <f>VLOOKUP($C107,Products!$A$1:$E$21,3,TRUE)</f>
        <v>Office</v>
      </c>
      <c r="K107" s="4">
        <f>VLOOKUP($C107,Products!$A$1:$E$21,4,TRUE)</f>
        <v>380</v>
      </c>
      <c r="L107" s="4">
        <f>VLOOKUP($C107,Products!$A$1:$E$21,5,TRUE)</f>
        <v>510</v>
      </c>
      <c r="M107" s="4">
        <f t="shared" si="8"/>
        <v>2660</v>
      </c>
      <c r="N107" s="4">
        <f t="shared" si="9"/>
        <v>3570</v>
      </c>
      <c r="O107" s="4">
        <f t="shared" si="10"/>
        <v>910</v>
      </c>
      <c r="P107" s="5">
        <f t="shared" si="11"/>
        <v>0.25490196078431371</v>
      </c>
      <c r="Q107" s="3" t="str">
        <f t="shared" si="12"/>
        <v>High_order</v>
      </c>
      <c r="R107" s="3" t="str">
        <f t="shared" si="13"/>
        <v>Senior</v>
      </c>
      <c r="S107" s="11" t="str">
        <f t="shared" si="14"/>
        <v>Low_profit</v>
      </c>
      <c r="T107" s="13" t="str">
        <f t="shared" si="15"/>
        <v>Aug</v>
      </c>
    </row>
    <row r="108" spans="1:20" x14ac:dyDescent="0.3">
      <c r="A108" s="9">
        <v>45627</v>
      </c>
      <c r="B108" s="3">
        <v>3107</v>
      </c>
      <c r="C108" s="3">
        <v>1017</v>
      </c>
      <c r="D108" s="3">
        <v>2040</v>
      </c>
      <c r="E108" s="3">
        <v>10</v>
      </c>
      <c r="F108" s="3">
        <f>VLOOKUP(Sheet1!$D108,Customers!$A$1:$D$51,2,TRUE)</f>
        <v>40</v>
      </c>
      <c r="G108" s="3" t="str">
        <f>VLOOKUP(Sheet1!$D108,Customers!$A$1:$D$51,3,TRUE)</f>
        <v>Male</v>
      </c>
      <c r="H108" s="3" t="str">
        <f>VLOOKUP(Sheet1!$D108,Customers!$A$1:$D$51,4,TRUE)</f>
        <v>Hyderabad</v>
      </c>
      <c r="I108" s="3" t="str">
        <f>VLOOKUP($C108,Products!$A$1:$E$21,2,TRUE)</f>
        <v>Dumbbells</v>
      </c>
      <c r="J108" s="3" t="str">
        <f>VLOOKUP($C108,Products!$A$1:$E$21,3,TRUE)</f>
        <v>Fitness</v>
      </c>
      <c r="K108" s="4">
        <f>VLOOKUP($C108,Products!$A$1:$E$21,4,TRUE)</f>
        <v>120</v>
      </c>
      <c r="L108" s="4">
        <f>VLOOKUP($C108,Products!$A$1:$E$21,5,TRUE)</f>
        <v>200</v>
      </c>
      <c r="M108" s="4">
        <f t="shared" si="8"/>
        <v>1200</v>
      </c>
      <c r="N108" s="4">
        <f t="shared" si="9"/>
        <v>2000</v>
      </c>
      <c r="O108" s="4">
        <f t="shared" si="10"/>
        <v>800</v>
      </c>
      <c r="P108" s="5">
        <f t="shared" si="11"/>
        <v>0.4</v>
      </c>
      <c r="Q108" s="3" t="str">
        <f t="shared" si="12"/>
        <v>Medium_order</v>
      </c>
      <c r="R108" s="3" t="str">
        <f t="shared" si="13"/>
        <v>Middle_age</v>
      </c>
      <c r="S108" s="11" t="str">
        <f t="shared" si="14"/>
        <v>Medium_profit</v>
      </c>
      <c r="T108" s="13" t="str">
        <f t="shared" si="15"/>
        <v>Dec</v>
      </c>
    </row>
    <row r="109" spans="1:20" x14ac:dyDescent="0.3">
      <c r="A109" s="9">
        <v>45498</v>
      </c>
      <c r="B109" s="3">
        <v>3108</v>
      </c>
      <c r="C109" s="3">
        <v>1018</v>
      </c>
      <c r="D109" s="3">
        <v>2044</v>
      </c>
      <c r="E109" s="3">
        <v>2</v>
      </c>
      <c r="F109" s="3">
        <f>VLOOKUP(Sheet1!$D109,Customers!$A$1:$D$51,2,TRUE)</f>
        <v>44</v>
      </c>
      <c r="G109" s="3" t="str">
        <f>VLOOKUP(Sheet1!$D109,Customers!$A$1:$D$51,3,TRUE)</f>
        <v>Female</v>
      </c>
      <c r="H109" s="3" t="str">
        <f>VLOOKUP(Sheet1!$D109,Customers!$A$1:$D$51,4,TRUE)</f>
        <v>Mumbai</v>
      </c>
      <c r="I109" s="3" t="str">
        <f>VLOOKUP($C109,Products!$A$1:$E$21,2,TRUE)</f>
        <v>Resistance Band</v>
      </c>
      <c r="J109" s="3" t="str">
        <f>VLOOKUP($C109,Products!$A$1:$E$21,3,TRUE)</f>
        <v>Fitness</v>
      </c>
      <c r="K109" s="4">
        <f>VLOOKUP($C109,Products!$A$1:$E$21,4,TRUE)</f>
        <v>310</v>
      </c>
      <c r="L109" s="4">
        <f>VLOOKUP($C109,Products!$A$1:$E$21,5,TRUE)</f>
        <v>480</v>
      </c>
      <c r="M109" s="4">
        <f t="shared" si="8"/>
        <v>620</v>
      </c>
      <c r="N109" s="4">
        <f t="shared" si="9"/>
        <v>960</v>
      </c>
      <c r="O109" s="4">
        <f t="shared" si="10"/>
        <v>340</v>
      </c>
      <c r="P109" s="5">
        <f t="shared" si="11"/>
        <v>0.35416666666666669</v>
      </c>
      <c r="Q109" s="3" t="str">
        <f t="shared" si="12"/>
        <v>Low_order</v>
      </c>
      <c r="R109" s="3" t="str">
        <f t="shared" si="13"/>
        <v>Senior</v>
      </c>
      <c r="S109" s="11" t="str">
        <f t="shared" si="14"/>
        <v>Medium_profit</v>
      </c>
      <c r="T109" s="13" t="str">
        <f t="shared" si="15"/>
        <v>Jul</v>
      </c>
    </row>
    <row r="110" spans="1:20" x14ac:dyDescent="0.3">
      <c r="A110" s="9">
        <v>45568</v>
      </c>
      <c r="B110" s="3">
        <v>3109</v>
      </c>
      <c r="C110" s="3">
        <v>1010</v>
      </c>
      <c r="D110" s="3">
        <v>2048</v>
      </c>
      <c r="E110" s="3">
        <v>2</v>
      </c>
      <c r="F110" s="3">
        <f>VLOOKUP(Sheet1!$D110,Customers!$A$1:$D$51,2,TRUE)</f>
        <v>41</v>
      </c>
      <c r="G110" s="3" t="str">
        <f>VLOOKUP(Sheet1!$D110,Customers!$A$1:$D$51,3,TRUE)</f>
        <v>Female</v>
      </c>
      <c r="H110" s="3" t="str">
        <f>VLOOKUP(Sheet1!$D110,Customers!$A$1:$D$51,4,TRUE)</f>
        <v>Mumbai</v>
      </c>
      <c r="I110" s="3" t="str">
        <f>VLOOKUP($C110,Products!$A$1:$E$21,2,TRUE)</f>
        <v>Laptop Sleeve</v>
      </c>
      <c r="J110" s="3" t="str">
        <f>VLOOKUP($C110,Products!$A$1:$E$21,3,TRUE)</f>
        <v>Accessories</v>
      </c>
      <c r="K110" s="4">
        <f>VLOOKUP($C110,Products!$A$1:$E$21,4,TRUE)</f>
        <v>290</v>
      </c>
      <c r="L110" s="4">
        <f>VLOOKUP($C110,Products!$A$1:$E$21,5,TRUE)</f>
        <v>470</v>
      </c>
      <c r="M110" s="4">
        <f t="shared" si="8"/>
        <v>580</v>
      </c>
      <c r="N110" s="4">
        <f t="shared" si="9"/>
        <v>940</v>
      </c>
      <c r="O110" s="4">
        <f t="shared" si="10"/>
        <v>360</v>
      </c>
      <c r="P110" s="5">
        <f t="shared" si="11"/>
        <v>0.38297872340425532</v>
      </c>
      <c r="Q110" s="3" t="str">
        <f t="shared" si="12"/>
        <v>Low_order</v>
      </c>
      <c r="R110" s="3" t="str">
        <f t="shared" si="13"/>
        <v>Senior</v>
      </c>
      <c r="S110" s="11" t="str">
        <f t="shared" si="14"/>
        <v>Medium_profit</v>
      </c>
      <c r="T110" s="13" t="str">
        <f t="shared" si="15"/>
        <v>Oct</v>
      </c>
    </row>
    <row r="111" spans="1:20" x14ac:dyDescent="0.3">
      <c r="A111" s="9">
        <v>45578</v>
      </c>
      <c r="B111" s="3">
        <v>3110</v>
      </c>
      <c r="C111" s="3">
        <v>1007</v>
      </c>
      <c r="D111" s="3">
        <v>2028</v>
      </c>
      <c r="E111" s="3">
        <v>10</v>
      </c>
      <c r="F111" s="3">
        <f>VLOOKUP(Sheet1!$D111,Customers!$A$1:$D$51,2,TRUE)</f>
        <v>43</v>
      </c>
      <c r="G111" s="3" t="str">
        <f>VLOOKUP(Sheet1!$D111,Customers!$A$1:$D$51,3,TRUE)</f>
        <v>Male</v>
      </c>
      <c r="H111" s="3" t="str">
        <f>VLOOKUP(Sheet1!$D111,Customers!$A$1:$D$51,4,TRUE)</f>
        <v>Mumbai</v>
      </c>
      <c r="I111" s="3" t="str">
        <f>VLOOKUP($C111,Products!$A$1:$E$21,2,TRUE)</f>
        <v>Charger</v>
      </c>
      <c r="J111" s="3" t="str">
        <f>VLOOKUP($C111,Products!$A$1:$E$21,3,TRUE)</f>
        <v>Accessories</v>
      </c>
      <c r="K111" s="4">
        <f>VLOOKUP($C111,Products!$A$1:$E$21,4,TRUE)</f>
        <v>160</v>
      </c>
      <c r="L111" s="4">
        <f>VLOOKUP($C111,Products!$A$1:$E$21,5,TRUE)</f>
        <v>230</v>
      </c>
      <c r="M111" s="4">
        <f t="shared" si="8"/>
        <v>1600</v>
      </c>
      <c r="N111" s="4">
        <f t="shared" si="9"/>
        <v>2300</v>
      </c>
      <c r="O111" s="4">
        <f t="shared" si="10"/>
        <v>700</v>
      </c>
      <c r="P111" s="5">
        <f t="shared" si="11"/>
        <v>0.30434782608695654</v>
      </c>
      <c r="Q111" s="3" t="str">
        <f t="shared" si="12"/>
        <v>Medium_order</v>
      </c>
      <c r="R111" s="3" t="str">
        <f t="shared" si="13"/>
        <v>Senior</v>
      </c>
      <c r="S111" s="11" t="str">
        <f t="shared" si="14"/>
        <v>Low_profit</v>
      </c>
      <c r="T111" s="13" t="str">
        <f t="shared" si="15"/>
        <v>Oct</v>
      </c>
    </row>
    <row r="112" spans="1:20" x14ac:dyDescent="0.3">
      <c r="A112" s="9">
        <v>45420</v>
      </c>
      <c r="B112" s="3">
        <v>3111</v>
      </c>
      <c r="C112" s="3">
        <v>1014</v>
      </c>
      <c r="D112" s="3">
        <v>2021</v>
      </c>
      <c r="E112" s="3">
        <v>6</v>
      </c>
      <c r="F112" s="3">
        <f>VLOOKUP(Sheet1!$D112,Customers!$A$1:$D$51,2,TRUE)</f>
        <v>28</v>
      </c>
      <c r="G112" s="3" t="str">
        <f>VLOOKUP(Sheet1!$D112,Customers!$A$1:$D$51,3,TRUE)</f>
        <v>Male</v>
      </c>
      <c r="H112" s="3" t="str">
        <f>VLOOKUP(Sheet1!$D112,Customers!$A$1:$D$51,4,TRUE)</f>
        <v>Delhi</v>
      </c>
      <c r="I112" s="3" t="str">
        <f>VLOOKUP($C112,Products!$A$1:$E$21,2,TRUE)</f>
        <v>Stapler</v>
      </c>
      <c r="J112" s="3" t="str">
        <f>VLOOKUP($C112,Products!$A$1:$E$21,3,TRUE)</f>
        <v>Office</v>
      </c>
      <c r="K112" s="4">
        <f>VLOOKUP($C112,Products!$A$1:$E$21,4,TRUE)</f>
        <v>170</v>
      </c>
      <c r="L112" s="4">
        <f>VLOOKUP($C112,Products!$A$1:$E$21,5,TRUE)</f>
        <v>280</v>
      </c>
      <c r="M112" s="4">
        <f t="shared" si="8"/>
        <v>1020</v>
      </c>
      <c r="N112" s="4">
        <f t="shared" si="9"/>
        <v>1680</v>
      </c>
      <c r="O112" s="4">
        <f t="shared" si="10"/>
        <v>660</v>
      </c>
      <c r="P112" s="5">
        <f t="shared" si="11"/>
        <v>0.39285714285714285</v>
      </c>
      <c r="Q112" s="3" t="str">
        <f t="shared" si="12"/>
        <v>Medium_order</v>
      </c>
      <c r="R112" s="3" t="str">
        <f t="shared" si="13"/>
        <v>Young</v>
      </c>
      <c r="S112" s="11" t="str">
        <f t="shared" si="14"/>
        <v>Medium_profit</v>
      </c>
      <c r="T112" s="13" t="str">
        <f t="shared" si="15"/>
        <v>May</v>
      </c>
    </row>
    <row r="113" spans="1:20" x14ac:dyDescent="0.3">
      <c r="A113" s="9">
        <v>45617</v>
      </c>
      <c r="B113" s="3">
        <v>3112</v>
      </c>
      <c r="C113" s="3">
        <v>1015</v>
      </c>
      <c r="D113" s="3">
        <v>2033</v>
      </c>
      <c r="E113" s="3">
        <v>6</v>
      </c>
      <c r="F113" s="3">
        <f>VLOOKUP(Sheet1!$D113,Customers!$A$1:$D$51,2,TRUE)</f>
        <v>43</v>
      </c>
      <c r="G113" s="3" t="str">
        <f>VLOOKUP(Sheet1!$D113,Customers!$A$1:$D$51,3,TRUE)</f>
        <v>Female</v>
      </c>
      <c r="H113" s="3" t="str">
        <f>VLOOKUP(Sheet1!$D113,Customers!$A$1:$D$51,4,TRUE)</f>
        <v>Hyderabad</v>
      </c>
      <c r="I113" s="3" t="str">
        <f>VLOOKUP($C113,Products!$A$1:$E$21,2,TRUE)</f>
        <v>Organizer</v>
      </c>
      <c r="J113" s="3" t="str">
        <f>VLOOKUP($C113,Products!$A$1:$E$21,3,TRUE)</f>
        <v>Office</v>
      </c>
      <c r="K113" s="4">
        <f>VLOOKUP($C113,Products!$A$1:$E$21,4,TRUE)</f>
        <v>70</v>
      </c>
      <c r="L113" s="4">
        <f>VLOOKUP($C113,Products!$A$1:$E$21,5,TRUE)</f>
        <v>210</v>
      </c>
      <c r="M113" s="4">
        <f t="shared" si="8"/>
        <v>420</v>
      </c>
      <c r="N113" s="4">
        <f t="shared" si="9"/>
        <v>1260</v>
      </c>
      <c r="O113" s="4">
        <f t="shared" si="10"/>
        <v>840</v>
      </c>
      <c r="P113" s="5">
        <f t="shared" si="11"/>
        <v>0.66666666666666663</v>
      </c>
      <c r="Q113" s="3" t="str">
        <f t="shared" si="12"/>
        <v>Low_order</v>
      </c>
      <c r="R113" s="3" t="str">
        <f t="shared" si="13"/>
        <v>Senior</v>
      </c>
      <c r="S113" s="11" t="str">
        <f t="shared" si="14"/>
        <v>High_profit</v>
      </c>
      <c r="T113" s="13" t="str">
        <f t="shared" si="15"/>
        <v>Nov</v>
      </c>
    </row>
    <row r="114" spans="1:20" x14ac:dyDescent="0.3">
      <c r="A114" s="9">
        <v>45396</v>
      </c>
      <c r="B114" s="3">
        <v>3113</v>
      </c>
      <c r="C114" s="3">
        <v>1002</v>
      </c>
      <c r="D114" s="3">
        <v>2014</v>
      </c>
      <c r="E114" s="3">
        <v>3</v>
      </c>
      <c r="F114" s="3">
        <f>VLOOKUP(Sheet1!$D114,Customers!$A$1:$D$51,2,TRUE)</f>
        <v>58</v>
      </c>
      <c r="G114" s="3" t="str">
        <f>VLOOKUP(Sheet1!$D114,Customers!$A$1:$D$51,3,TRUE)</f>
        <v>Female</v>
      </c>
      <c r="H114" s="3" t="str">
        <f>VLOOKUP(Sheet1!$D114,Customers!$A$1:$D$51,4,TRUE)</f>
        <v>Chandigarh</v>
      </c>
      <c r="I114" s="3" t="str">
        <f>VLOOKUP($C114,Products!$A$1:$E$21,2,TRUE)</f>
        <v>Keyboard</v>
      </c>
      <c r="J114" s="3" t="str">
        <f>VLOOKUP($C114,Products!$A$1:$E$21,3,TRUE)</f>
        <v>Electronics</v>
      </c>
      <c r="K114" s="4">
        <f>VLOOKUP($C114,Products!$A$1:$E$21,4,TRUE)</f>
        <v>230</v>
      </c>
      <c r="L114" s="4">
        <f>VLOOKUP($C114,Products!$A$1:$E$21,5,TRUE)</f>
        <v>400</v>
      </c>
      <c r="M114" s="4">
        <f t="shared" si="8"/>
        <v>690</v>
      </c>
      <c r="N114" s="4">
        <f t="shared" si="9"/>
        <v>1200</v>
      </c>
      <c r="O114" s="4">
        <f t="shared" si="10"/>
        <v>510</v>
      </c>
      <c r="P114" s="5">
        <f t="shared" si="11"/>
        <v>0.42499999999999999</v>
      </c>
      <c r="Q114" s="3" t="str">
        <f t="shared" si="12"/>
        <v>Low_order</v>
      </c>
      <c r="R114" s="3" t="str">
        <f t="shared" si="13"/>
        <v>Senior</v>
      </c>
      <c r="S114" s="11" t="str">
        <f t="shared" si="14"/>
        <v>High_profit</v>
      </c>
      <c r="T114" s="13" t="str">
        <f t="shared" si="15"/>
        <v>Apr</v>
      </c>
    </row>
    <row r="115" spans="1:20" x14ac:dyDescent="0.3">
      <c r="A115" s="9">
        <v>45303</v>
      </c>
      <c r="B115" s="3">
        <v>3114</v>
      </c>
      <c r="C115" s="3">
        <v>1007</v>
      </c>
      <c r="D115" s="3">
        <v>2031</v>
      </c>
      <c r="E115" s="3">
        <v>2</v>
      </c>
      <c r="F115" s="3">
        <f>VLOOKUP(Sheet1!$D115,Customers!$A$1:$D$51,2,TRUE)</f>
        <v>38</v>
      </c>
      <c r="G115" s="3" t="str">
        <f>VLOOKUP(Sheet1!$D115,Customers!$A$1:$D$51,3,TRUE)</f>
        <v>Male</v>
      </c>
      <c r="H115" s="3" t="str">
        <f>VLOOKUP(Sheet1!$D115,Customers!$A$1:$D$51,4,TRUE)</f>
        <v>Bangalore</v>
      </c>
      <c r="I115" s="3" t="str">
        <f>VLOOKUP($C115,Products!$A$1:$E$21,2,TRUE)</f>
        <v>Charger</v>
      </c>
      <c r="J115" s="3" t="str">
        <f>VLOOKUP($C115,Products!$A$1:$E$21,3,TRUE)</f>
        <v>Accessories</v>
      </c>
      <c r="K115" s="4">
        <f>VLOOKUP($C115,Products!$A$1:$E$21,4,TRUE)</f>
        <v>160</v>
      </c>
      <c r="L115" s="4">
        <f>VLOOKUP($C115,Products!$A$1:$E$21,5,TRUE)</f>
        <v>230</v>
      </c>
      <c r="M115" s="4">
        <f t="shared" si="8"/>
        <v>320</v>
      </c>
      <c r="N115" s="4">
        <f t="shared" si="9"/>
        <v>460</v>
      </c>
      <c r="O115" s="4">
        <f t="shared" si="10"/>
        <v>140</v>
      </c>
      <c r="P115" s="5">
        <f t="shared" si="11"/>
        <v>0.30434782608695654</v>
      </c>
      <c r="Q115" s="3" t="str">
        <f t="shared" si="12"/>
        <v>Low_order</v>
      </c>
      <c r="R115" s="3" t="str">
        <f t="shared" si="13"/>
        <v>Middle_age</v>
      </c>
      <c r="S115" s="11" t="str">
        <f t="shared" si="14"/>
        <v>Low_profit</v>
      </c>
      <c r="T115" s="13" t="str">
        <f t="shared" si="15"/>
        <v>Jan</v>
      </c>
    </row>
    <row r="116" spans="1:20" x14ac:dyDescent="0.3">
      <c r="A116" s="9">
        <v>45300</v>
      </c>
      <c r="B116" s="3">
        <v>3115</v>
      </c>
      <c r="C116" s="3">
        <v>1007</v>
      </c>
      <c r="D116" s="3">
        <v>2034</v>
      </c>
      <c r="E116" s="3">
        <v>9</v>
      </c>
      <c r="F116" s="3">
        <f>VLOOKUP(Sheet1!$D116,Customers!$A$1:$D$51,2,TRUE)</f>
        <v>48</v>
      </c>
      <c r="G116" s="3" t="str">
        <f>VLOOKUP(Sheet1!$D116,Customers!$A$1:$D$51,3,TRUE)</f>
        <v>Female</v>
      </c>
      <c r="H116" s="3" t="str">
        <f>VLOOKUP(Sheet1!$D116,Customers!$A$1:$D$51,4,TRUE)</f>
        <v>Pune</v>
      </c>
      <c r="I116" s="3" t="str">
        <f>VLOOKUP($C116,Products!$A$1:$E$21,2,TRUE)</f>
        <v>Charger</v>
      </c>
      <c r="J116" s="3" t="str">
        <f>VLOOKUP($C116,Products!$A$1:$E$21,3,TRUE)</f>
        <v>Accessories</v>
      </c>
      <c r="K116" s="4">
        <f>VLOOKUP($C116,Products!$A$1:$E$21,4,TRUE)</f>
        <v>160</v>
      </c>
      <c r="L116" s="4">
        <f>VLOOKUP($C116,Products!$A$1:$E$21,5,TRUE)</f>
        <v>230</v>
      </c>
      <c r="M116" s="4">
        <f t="shared" si="8"/>
        <v>1440</v>
      </c>
      <c r="N116" s="4">
        <f t="shared" si="9"/>
        <v>2070</v>
      </c>
      <c r="O116" s="4">
        <f t="shared" si="10"/>
        <v>630</v>
      </c>
      <c r="P116" s="5">
        <f t="shared" si="11"/>
        <v>0.30434782608695654</v>
      </c>
      <c r="Q116" s="3" t="str">
        <f t="shared" si="12"/>
        <v>Medium_order</v>
      </c>
      <c r="R116" s="3" t="str">
        <f t="shared" si="13"/>
        <v>Senior</v>
      </c>
      <c r="S116" s="11" t="str">
        <f t="shared" si="14"/>
        <v>Low_profit</v>
      </c>
      <c r="T116" s="13" t="str">
        <f t="shared" si="15"/>
        <v>Jan</v>
      </c>
    </row>
    <row r="117" spans="1:20" x14ac:dyDescent="0.3">
      <c r="A117" s="9">
        <v>45434</v>
      </c>
      <c r="B117" s="3">
        <v>3116</v>
      </c>
      <c r="C117" s="3">
        <v>1012</v>
      </c>
      <c r="D117" s="3">
        <v>2043</v>
      </c>
      <c r="E117" s="3">
        <v>8</v>
      </c>
      <c r="F117" s="3">
        <f>VLOOKUP(Sheet1!$D117,Customers!$A$1:$D$51,2,TRUE)</f>
        <v>44</v>
      </c>
      <c r="G117" s="3" t="str">
        <f>VLOOKUP(Sheet1!$D117,Customers!$A$1:$D$51,3,TRUE)</f>
        <v>Male</v>
      </c>
      <c r="H117" s="3" t="str">
        <f>VLOOKUP(Sheet1!$D117,Customers!$A$1:$D$51,4,TRUE)</f>
        <v>Delhi</v>
      </c>
      <c r="I117" s="3" t="str">
        <f>VLOOKUP($C117,Products!$A$1:$E$21,2,TRUE)</f>
        <v>Pen Set</v>
      </c>
      <c r="J117" s="3" t="str">
        <f>VLOOKUP($C117,Products!$A$1:$E$21,3,TRUE)</f>
        <v>Office</v>
      </c>
      <c r="K117" s="4">
        <f>VLOOKUP($C117,Products!$A$1:$E$21,4,TRUE)</f>
        <v>380</v>
      </c>
      <c r="L117" s="4">
        <f>VLOOKUP($C117,Products!$A$1:$E$21,5,TRUE)</f>
        <v>510</v>
      </c>
      <c r="M117" s="4">
        <f t="shared" si="8"/>
        <v>3040</v>
      </c>
      <c r="N117" s="4">
        <f t="shared" si="9"/>
        <v>4080</v>
      </c>
      <c r="O117" s="4">
        <f t="shared" si="10"/>
        <v>1040</v>
      </c>
      <c r="P117" s="5">
        <f t="shared" si="11"/>
        <v>0.25490196078431371</v>
      </c>
      <c r="Q117" s="3" t="str">
        <f t="shared" si="12"/>
        <v>High_order</v>
      </c>
      <c r="R117" s="3" t="str">
        <f t="shared" si="13"/>
        <v>Senior</v>
      </c>
      <c r="S117" s="11" t="str">
        <f t="shared" si="14"/>
        <v>Low_profit</v>
      </c>
      <c r="T117" s="13" t="str">
        <f t="shared" si="15"/>
        <v>May</v>
      </c>
    </row>
    <row r="118" spans="1:20" x14ac:dyDescent="0.3">
      <c r="A118" s="9">
        <v>45615</v>
      </c>
      <c r="B118" s="3">
        <v>3117</v>
      </c>
      <c r="C118" s="3">
        <v>1010</v>
      </c>
      <c r="D118" s="3">
        <v>2046</v>
      </c>
      <c r="E118" s="3">
        <v>4</v>
      </c>
      <c r="F118" s="3">
        <f>VLOOKUP(Sheet1!$D118,Customers!$A$1:$D$51,2,TRUE)</f>
        <v>52</v>
      </c>
      <c r="G118" s="3" t="str">
        <f>VLOOKUP(Sheet1!$D118,Customers!$A$1:$D$51,3,TRUE)</f>
        <v>Male</v>
      </c>
      <c r="H118" s="3" t="str">
        <f>VLOOKUP(Sheet1!$D118,Customers!$A$1:$D$51,4,TRUE)</f>
        <v>Pune</v>
      </c>
      <c r="I118" s="3" t="str">
        <f>VLOOKUP($C118,Products!$A$1:$E$21,2,TRUE)</f>
        <v>Laptop Sleeve</v>
      </c>
      <c r="J118" s="3" t="str">
        <f>VLOOKUP($C118,Products!$A$1:$E$21,3,TRUE)</f>
        <v>Accessories</v>
      </c>
      <c r="K118" s="4">
        <f>VLOOKUP($C118,Products!$A$1:$E$21,4,TRUE)</f>
        <v>290</v>
      </c>
      <c r="L118" s="4">
        <f>VLOOKUP($C118,Products!$A$1:$E$21,5,TRUE)</f>
        <v>470</v>
      </c>
      <c r="M118" s="4">
        <f t="shared" si="8"/>
        <v>1160</v>
      </c>
      <c r="N118" s="4">
        <f t="shared" si="9"/>
        <v>1880</v>
      </c>
      <c r="O118" s="4">
        <f t="shared" si="10"/>
        <v>720</v>
      </c>
      <c r="P118" s="5">
        <f t="shared" si="11"/>
        <v>0.38297872340425532</v>
      </c>
      <c r="Q118" s="3" t="str">
        <f t="shared" si="12"/>
        <v>Medium_order</v>
      </c>
      <c r="R118" s="3" t="str">
        <f t="shared" si="13"/>
        <v>Senior</v>
      </c>
      <c r="S118" s="11" t="str">
        <f t="shared" si="14"/>
        <v>Medium_profit</v>
      </c>
      <c r="T118" s="13" t="str">
        <f t="shared" si="15"/>
        <v>Nov</v>
      </c>
    </row>
    <row r="119" spans="1:20" x14ac:dyDescent="0.3">
      <c r="A119" s="9">
        <v>45294</v>
      </c>
      <c r="B119" s="3">
        <v>3118</v>
      </c>
      <c r="C119" s="3">
        <v>1003</v>
      </c>
      <c r="D119" s="3">
        <v>2024</v>
      </c>
      <c r="E119" s="3">
        <v>6</v>
      </c>
      <c r="F119" s="3">
        <f>VLOOKUP(Sheet1!$D119,Customers!$A$1:$D$51,2,TRUE)</f>
        <v>26</v>
      </c>
      <c r="G119" s="3" t="str">
        <f>VLOOKUP(Sheet1!$D119,Customers!$A$1:$D$51,3,TRUE)</f>
        <v>Female</v>
      </c>
      <c r="H119" s="3" t="str">
        <f>VLOOKUP(Sheet1!$D119,Customers!$A$1:$D$51,4,TRUE)</f>
        <v>Delhi</v>
      </c>
      <c r="I119" s="3" t="str">
        <f>VLOOKUP($C119,Products!$A$1:$E$21,2,TRUE)</f>
        <v>Mouse</v>
      </c>
      <c r="J119" s="3" t="str">
        <f>VLOOKUP($C119,Products!$A$1:$E$21,3,TRUE)</f>
        <v>Electronics</v>
      </c>
      <c r="K119" s="4">
        <f>VLOOKUP($C119,Products!$A$1:$E$21,4,TRUE)</f>
        <v>140</v>
      </c>
      <c r="L119" s="4">
        <f>VLOOKUP($C119,Products!$A$1:$E$21,5,TRUE)</f>
        <v>350</v>
      </c>
      <c r="M119" s="4">
        <f t="shared" si="8"/>
        <v>840</v>
      </c>
      <c r="N119" s="4">
        <f t="shared" si="9"/>
        <v>2100</v>
      </c>
      <c r="O119" s="4">
        <f t="shared" si="10"/>
        <v>1260</v>
      </c>
      <c r="P119" s="5">
        <f t="shared" si="11"/>
        <v>0.6</v>
      </c>
      <c r="Q119" s="3" t="str">
        <f t="shared" si="12"/>
        <v>Medium_order</v>
      </c>
      <c r="R119" s="3" t="str">
        <f t="shared" si="13"/>
        <v>Young</v>
      </c>
      <c r="S119" s="11" t="str">
        <f t="shared" si="14"/>
        <v>High_profit</v>
      </c>
      <c r="T119" s="13" t="str">
        <f t="shared" si="15"/>
        <v>Jan</v>
      </c>
    </row>
    <row r="120" spans="1:20" x14ac:dyDescent="0.3">
      <c r="A120" s="9">
        <v>45508</v>
      </c>
      <c r="B120" s="3">
        <v>3119</v>
      </c>
      <c r="C120" s="3">
        <v>1011</v>
      </c>
      <c r="D120" s="3">
        <v>2007</v>
      </c>
      <c r="E120" s="3">
        <v>9</v>
      </c>
      <c r="F120" s="3">
        <f>VLOOKUP(Sheet1!$D120,Customers!$A$1:$D$51,2,TRUE)</f>
        <v>34</v>
      </c>
      <c r="G120" s="3" t="str">
        <f>VLOOKUP(Sheet1!$D120,Customers!$A$1:$D$51,3,TRUE)</f>
        <v>Male</v>
      </c>
      <c r="H120" s="3" t="str">
        <f>VLOOKUP(Sheet1!$D120,Customers!$A$1:$D$51,4,TRUE)</f>
        <v>Bangalore</v>
      </c>
      <c r="I120" s="3" t="str">
        <f>VLOOKUP($C120,Products!$A$1:$E$21,2,TRUE)</f>
        <v>Notebook</v>
      </c>
      <c r="J120" s="3" t="str">
        <f>VLOOKUP($C120,Products!$A$1:$E$21,3,TRUE)</f>
        <v>Office</v>
      </c>
      <c r="K120" s="4">
        <f>VLOOKUP($C120,Products!$A$1:$E$21,4,TRUE)</f>
        <v>120</v>
      </c>
      <c r="L120" s="4">
        <f>VLOOKUP($C120,Products!$A$1:$E$21,5,TRUE)</f>
        <v>180</v>
      </c>
      <c r="M120" s="4">
        <f t="shared" si="8"/>
        <v>1080</v>
      </c>
      <c r="N120" s="4">
        <f t="shared" si="9"/>
        <v>1620</v>
      </c>
      <c r="O120" s="4">
        <f t="shared" si="10"/>
        <v>540</v>
      </c>
      <c r="P120" s="5">
        <f t="shared" si="11"/>
        <v>0.33333333333333331</v>
      </c>
      <c r="Q120" s="3" t="str">
        <f t="shared" si="12"/>
        <v>Medium_order</v>
      </c>
      <c r="R120" s="3" t="str">
        <f t="shared" si="13"/>
        <v>Middle_age</v>
      </c>
      <c r="S120" s="11" t="str">
        <f t="shared" si="14"/>
        <v>Medium_profit</v>
      </c>
      <c r="T120" s="13" t="str">
        <f t="shared" si="15"/>
        <v>Aug</v>
      </c>
    </row>
    <row r="121" spans="1:20" x14ac:dyDescent="0.3">
      <c r="A121" s="9">
        <v>45523</v>
      </c>
      <c r="B121" s="3">
        <v>3120</v>
      </c>
      <c r="C121" s="3">
        <v>1005</v>
      </c>
      <c r="D121" s="3">
        <v>2017</v>
      </c>
      <c r="E121" s="3">
        <v>4</v>
      </c>
      <c r="F121" s="3">
        <f>VLOOKUP(Sheet1!$D121,Customers!$A$1:$D$51,2,TRUE)</f>
        <v>32</v>
      </c>
      <c r="G121" s="3" t="str">
        <f>VLOOKUP(Sheet1!$D121,Customers!$A$1:$D$51,3,TRUE)</f>
        <v>Male</v>
      </c>
      <c r="H121" s="3" t="str">
        <f>VLOOKUP(Sheet1!$D121,Customers!$A$1:$D$51,4,TRUE)</f>
        <v>Delhi</v>
      </c>
      <c r="I121" s="3" t="str">
        <f>VLOOKUP($C121,Products!$A$1:$E$21,2,TRUE)</f>
        <v>Webcam</v>
      </c>
      <c r="J121" s="3" t="str">
        <f>VLOOKUP($C121,Products!$A$1:$E$21,3,TRUE)</f>
        <v>Electronics</v>
      </c>
      <c r="K121" s="4">
        <f>VLOOKUP($C121,Products!$A$1:$E$21,4,TRUE)</f>
        <v>340</v>
      </c>
      <c r="L121" s="4">
        <f>VLOOKUP($C121,Products!$A$1:$E$21,5,TRUE)</f>
        <v>520</v>
      </c>
      <c r="M121" s="4">
        <f t="shared" si="8"/>
        <v>1360</v>
      </c>
      <c r="N121" s="4">
        <f t="shared" si="9"/>
        <v>2080</v>
      </c>
      <c r="O121" s="4">
        <f t="shared" si="10"/>
        <v>720</v>
      </c>
      <c r="P121" s="5">
        <f t="shared" si="11"/>
        <v>0.34615384615384615</v>
      </c>
      <c r="Q121" s="3" t="str">
        <f t="shared" si="12"/>
        <v>Medium_order</v>
      </c>
      <c r="R121" s="3" t="str">
        <f t="shared" si="13"/>
        <v>Middle_age</v>
      </c>
      <c r="S121" s="11" t="str">
        <f t="shared" si="14"/>
        <v>Medium_profit</v>
      </c>
      <c r="T121" s="13" t="str">
        <f t="shared" si="15"/>
        <v>Aug</v>
      </c>
    </row>
    <row r="122" spans="1:20" x14ac:dyDescent="0.3">
      <c r="A122" s="9">
        <v>45334</v>
      </c>
      <c r="B122" s="3">
        <v>3121</v>
      </c>
      <c r="C122" s="3">
        <v>1003</v>
      </c>
      <c r="D122" s="3">
        <v>2017</v>
      </c>
      <c r="E122" s="3">
        <v>1</v>
      </c>
      <c r="F122" s="3">
        <f>VLOOKUP(Sheet1!$D122,Customers!$A$1:$D$51,2,TRUE)</f>
        <v>32</v>
      </c>
      <c r="G122" s="3" t="str">
        <f>VLOOKUP(Sheet1!$D122,Customers!$A$1:$D$51,3,TRUE)</f>
        <v>Male</v>
      </c>
      <c r="H122" s="3" t="str">
        <f>VLOOKUP(Sheet1!$D122,Customers!$A$1:$D$51,4,TRUE)</f>
        <v>Delhi</v>
      </c>
      <c r="I122" s="3" t="str">
        <f>VLOOKUP($C122,Products!$A$1:$E$21,2,TRUE)</f>
        <v>Mouse</v>
      </c>
      <c r="J122" s="3" t="str">
        <f>VLOOKUP($C122,Products!$A$1:$E$21,3,TRUE)</f>
        <v>Electronics</v>
      </c>
      <c r="K122" s="4">
        <f>VLOOKUP($C122,Products!$A$1:$E$21,4,TRUE)</f>
        <v>140</v>
      </c>
      <c r="L122" s="4">
        <f>VLOOKUP($C122,Products!$A$1:$E$21,5,TRUE)</f>
        <v>350</v>
      </c>
      <c r="M122" s="4">
        <f t="shared" si="8"/>
        <v>140</v>
      </c>
      <c r="N122" s="4">
        <f t="shared" si="9"/>
        <v>350</v>
      </c>
      <c r="O122" s="4">
        <f t="shared" si="10"/>
        <v>210</v>
      </c>
      <c r="P122" s="5">
        <f t="shared" si="11"/>
        <v>0.6</v>
      </c>
      <c r="Q122" s="3" t="str">
        <f t="shared" si="12"/>
        <v>Low_order</v>
      </c>
      <c r="R122" s="3" t="str">
        <f t="shared" si="13"/>
        <v>Middle_age</v>
      </c>
      <c r="S122" s="11" t="str">
        <f t="shared" si="14"/>
        <v>High_profit</v>
      </c>
      <c r="T122" s="13" t="str">
        <f t="shared" si="15"/>
        <v>Feb</v>
      </c>
    </row>
    <row r="123" spans="1:20" x14ac:dyDescent="0.3">
      <c r="A123" s="9">
        <v>45430</v>
      </c>
      <c r="B123" s="3">
        <v>3122</v>
      </c>
      <c r="C123" s="3">
        <v>1011</v>
      </c>
      <c r="D123" s="3">
        <v>2002</v>
      </c>
      <c r="E123" s="3">
        <v>9</v>
      </c>
      <c r="F123" s="3">
        <f>VLOOKUP(Sheet1!$D123,Customers!$A$1:$D$51,2,TRUE)</f>
        <v>33</v>
      </c>
      <c r="G123" s="3" t="str">
        <f>VLOOKUP(Sheet1!$D123,Customers!$A$1:$D$51,3,TRUE)</f>
        <v>Male</v>
      </c>
      <c r="H123" s="3" t="str">
        <f>VLOOKUP(Sheet1!$D123,Customers!$A$1:$D$51,4,TRUE)</f>
        <v>Delhi</v>
      </c>
      <c r="I123" s="3" t="str">
        <f>VLOOKUP($C123,Products!$A$1:$E$21,2,TRUE)</f>
        <v>Notebook</v>
      </c>
      <c r="J123" s="3" t="str">
        <f>VLOOKUP($C123,Products!$A$1:$E$21,3,TRUE)</f>
        <v>Office</v>
      </c>
      <c r="K123" s="4">
        <f>VLOOKUP($C123,Products!$A$1:$E$21,4,TRUE)</f>
        <v>120</v>
      </c>
      <c r="L123" s="4">
        <f>VLOOKUP($C123,Products!$A$1:$E$21,5,TRUE)</f>
        <v>180</v>
      </c>
      <c r="M123" s="4">
        <f t="shared" si="8"/>
        <v>1080</v>
      </c>
      <c r="N123" s="4">
        <f t="shared" si="9"/>
        <v>1620</v>
      </c>
      <c r="O123" s="4">
        <f t="shared" si="10"/>
        <v>540</v>
      </c>
      <c r="P123" s="5">
        <f t="shared" si="11"/>
        <v>0.33333333333333331</v>
      </c>
      <c r="Q123" s="3" t="str">
        <f t="shared" si="12"/>
        <v>Medium_order</v>
      </c>
      <c r="R123" s="3" t="str">
        <f t="shared" si="13"/>
        <v>Middle_age</v>
      </c>
      <c r="S123" s="11" t="str">
        <f t="shared" si="14"/>
        <v>Medium_profit</v>
      </c>
      <c r="T123" s="13" t="str">
        <f t="shared" si="15"/>
        <v>May</v>
      </c>
    </row>
    <row r="124" spans="1:20" x14ac:dyDescent="0.3">
      <c r="A124" s="9">
        <v>45562</v>
      </c>
      <c r="B124" s="3">
        <v>3123</v>
      </c>
      <c r="C124" s="3">
        <v>1016</v>
      </c>
      <c r="D124" s="3">
        <v>2027</v>
      </c>
      <c r="E124" s="3">
        <v>7</v>
      </c>
      <c r="F124" s="3">
        <f>VLOOKUP(Sheet1!$D124,Customers!$A$1:$D$51,2,TRUE)</f>
        <v>27</v>
      </c>
      <c r="G124" s="3" t="str">
        <f>VLOOKUP(Sheet1!$D124,Customers!$A$1:$D$51,3,TRUE)</f>
        <v>Female</v>
      </c>
      <c r="H124" s="3" t="str">
        <f>VLOOKUP(Sheet1!$D124,Customers!$A$1:$D$51,4,TRUE)</f>
        <v>Chandigarh</v>
      </c>
      <c r="I124" s="3" t="str">
        <f>VLOOKUP($C124,Products!$A$1:$E$21,2,TRUE)</f>
        <v>Yoga Mat</v>
      </c>
      <c r="J124" s="3" t="str">
        <f>VLOOKUP($C124,Products!$A$1:$E$21,3,TRUE)</f>
        <v>Fitness</v>
      </c>
      <c r="K124" s="4">
        <f>VLOOKUP($C124,Products!$A$1:$E$21,4,TRUE)</f>
        <v>330</v>
      </c>
      <c r="L124" s="4">
        <f>VLOOKUP($C124,Products!$A$1:$E$21,5,TRUE)</f>
        <v>490</v>
      </c>
      <c r="M124" s="4">
        <f t="shared" si="8"/>
        <v>2310</v>
      </c>
      <c r="N124" s="4">
        <f t="shared" si="9"/>
        <v>3430</v>
      </c>
      <c r="O124" s="4">
        <f t="shared" si="10"/>
        <v>1120</v>
      </c>
      <c r="P124" s="5">
        <f t="shared" si="11"/>
        <v>0.32653061224489793</v>
      </c>
      <c r="Q124" s="3" t="str">
        <f t="shared" si="12"/>
        <v>High_order</v>
      </c>
      <c r="R124" s="3" t="str">
        <f t="shared" si="13"/>
        <v>Young</v>
      </c>
      <c r="S124" s="11" t="str">
        <f t="shared" si="14"/>
        <v>Medium_profit</v>
      </c>
      <c r="T124" s="13" t="str">
        <f t="shared" si="15"/>
        <v>Sep</v>
      </c>
    </row>
    <row r="125" spans="1:20" x14ac:dyDescent="0.3">
      <c r="A125" s="9">
        <v>45536</v>
      </c>
      <c r="B125" s="3">
        <v>3124</v>
      </c>
      <c r="C125" s="3">
        <v>1010</v>
      </c>
      <c r="D125" s="3">
        <v>2038</v>
      </c>
      <c r="E125" s="3">
        <v>8</v>
      </c>
      <c r="F125" s="3">
        <f>VLOOKUP(Sheet1!$D125,Customers!$A$1:$D$51,2,TRUE)</f>
        <v>22</v>
      </c>
      <c r="G125" s="3" t="str">
        <f>VLOOKUP(Sheet1!$D125,Customers!$A$1:$D$51,3,TRUE)</f>
        <v>Male</v>
      </c>
      <c r="H125" s="3" t="str">
        <f>VLOOKUP(Sheet1!$D125,Customers!$A$1:$D$51,4,TRUE)</f>
        <v>Bangalore</v>
      </c>
      <c r="I125" s="3" t="str">
        <f>VLOOKUP($C125,Products!$A$1:$E$21,2,TRUE)</f>
        <v>Laptop Sleeve</v>
      </c>
      <c r="J125" s="3" t="str">
        <f>VLOOKUP($C125,Products!$A$1:$E$21,3,TRUE)</f>
        <v>Accessories</v>
      </c>
      <c r="K125" s="4">
        <f>VLOOKUP($C125,Products!$A$1:$E$21,4,TRUE)</f>
        <v>290</v>
      </c>
      <c r="L125" s="4">
        <f>VLOOKUP($C125,Products!$A$1:$E$21,5,TRUE)</f>
        <v>470</v>
      </c>
      <c r="M125" s="4">
        <f t="shared" si="8"/>
        <v>2320</v>
      </c>
      <c r="N125" s="4">
        <f t="shared" si="9"/>
        <v>3760</v>
      </c>
      <c r="O125" s="4">
        <f t="shared" si="10"/>
        <v>1440</v>
      </c>
      <c r="P125" s="5">
        <f t="shared" si="11"/>
        <v>0.38297872340425532</v>
      </c>
      <c r="Q125" s="3" t="str">
        <f t="shared" si="12"/>
        <v>High_order</v>
      </c>
      <c r="R125" s="3" t="str">
        <f t="shared" si="13"/>
        <v>Young</v>
      </c>
      <c r="S125" s="11" t="str">
        <f t="shared" si="14"/>
        <v>Medium_profit</v>
      </c>
      <c r="T125" s="13" t="str">
        <f t="shared" si="15"/>
        <v>Sep</v>
      </c>
    </row>
    <row r="126" spans="1:20" x14ac:dyDescent="0.3">
      <c r="A126" s="9">
        <v>45331</v>
      </c>
      <c r="B126" s="3">
        <v>3125</v>
      </c>
      <c r="C126" s="3">
        <v>1001</v>
      </c>
      <c r="D126" s="3">
        <v>2049</v>
      </c>
      <c r="E126" s="3">
        <v>6</v>
      </c>
      <c r="F126" s="3">
        <f>VLOOKUP(Sheet1!$D126,Customers!$A$1:$D$51,2,TRUE)</f>
        <v>44</v>
      </c>
      <c r="G126" s="3" t="str">
        <f>VLOOKUP(Sheet1!$D126,Customers!$A$1:$D$51,3,TRUE)</f>
        <v>Female</v>
      </c>
      <c r="H126" s="3" t="str">
        <f>VLOOKUP(Sheet1!$D126,Customers!$A$1:$D$51,4,TRUE)</f>
        <v>Delhi</v>
      </c>
      <c r="I126" s="3" t="str">
        <f>VLOOKUP($C126,Products!$A$1:$E$21,2,TRUE)</f>
        <v>Headphones</v>
      </c>
      <c r="J126" s="3" t="str">
        <f>VLOOKUP($C126,Products!$A$1:$E$21,3,TRUE)</f>
        <v>Electronics</v>
      </c>
      <c r="K126" s="4">
        <f>VLOOKUP($C126,Products!$A$1:$E$21,4,TRUE)</f>
        <v>380</v>
      </c>
      <c r="L126" s="4">
        <f>VLOOKUP($C126,Products!$A$1:$E$21,5,TRUE)</f>
        <v>550</v>
      </c>
      <c r="M126" s="4">
        <f t="shared" si="8"/>
        <v>2280</v>
      </c>
      <c r="N126" s="4">
        <f t="shared" si="9"/>
        <v>3300</v>
      </c>
      <c r="O126" s="4">
        <f t="shared" si="10"/>
        <v>1020</v>
      </c>
      <c r="P126" s="5">
        <f t="shared" si="11"/>
        <v>0.30909090909090908</v>
      </c>
      <c r="Q126" s="3" t="str">
        <f t="shared" si="12"/>
        <v>High_order</v>
      </c>
      <c r="R126" s="3" t="str">
        <f t="shared" si="13"/>
        <v>Senior</v>
      </c>
      <c r="S126" s="11" t="str">
        <f t="shared" si="14"/>
        <v>Low_profit</v>
      </c>
      <c r="T126" s="13" t="str">
        <f t="shared" si="15"/>
        <v>Feb</v>
      </c>
    </row>
    <row r="127" spans="1:20" x14ac:dyDescent="0.3">
      <c r="A127" s="9">
        <v>45385</v>
      </c>
      <c r="B127" s="3">
        <v>3126</v>
      </c>
      <c r="C127" s="3">
        <v>1020</v>
      </c>
      <c r="D127" s="3">
        <v>2003</v>
      </c>
      <c r="E127" s="3">
        <v>6</v>
      </c>
      <c r="F127" s="3">
        <f>VLOOKUP(Sheet1!$D127,Customers!$A$1:$D$51,2,TRUE)</f>
        <v>23</v>
      </c>
      <c r="G127" s="3" t="str">
        <f>VLOOKUP(Sheet1!$D127,Customers!$A$1:$D$51,3,TRUE)</f>
        <v>Female</v>
      </c>
      <c r="H127" s="3" t="str">
        <f>VLOOKUP(Sheet1!$D127,Customers!$A$1:$D$51,4,TRUE)</f>
        <v>Bangalore</v>
      </c>
      <c r="I127" s="3" t="str">
        <f>VLOOKUP($C127,Products!$A$1:$E$21,2,TRUE)</f>
        <v>Water Bottle</v>
      </c>
      <c r="J127" s="3" t="str">
        <f>VLOOKUP($C127,Products!$A$1:$E$21,3,TRUE)</f>
        <v>Fitness</v>
      </c>
      <c r="K127" s="4">
        <f>VLOOKUP($C127,Products!$A$1:$E$21,4,TRUE)</f>
        <v>400</v>
      </c>
      <c r="L127" s="4">
        <f>VLOOKUP($C127,Products!$A$1:$E$21,5,TRUE)</f>
        <v>560</v>
      </c>
      <c r="M127" s="4">
        <f t="shared" si="8"/>
        <v>2400</v>
      </c>
      <c r="N127" s="4">
        <f t="shared" si="9"/>
        <v>3360</v>
      </c>
      <c r="O127" s="4">
        <f t="shared" si="10"/>
        <v>960</v>
      </c>
      <c r="P127" s="5">
        <f t="shared" si="11"/>
        <v>0.2857142857142857</v>
      </c>
      <c r="Q127" s="3" t="str">
        <f t="shared" si="12"/>
        <v>High_order</v>
      </c>
      <c r="R127" s="3" t="str">
        <f t="shared" si="13"/>
        <v>Young</v>
      </c>
      <c r="S127" s="11" t="str">
        <f t="shared" si="14"/>
        <v>Low_profit</v>
      </c>
      <c r="T127" s="13" t="str">
        <f t="shared" si="15"/>
        <v>Apr</v>
      </c>
    </row>
    <row r="128" spans="1:20" x14ac:dyDescent="0.3">
      <c r="A128" s="9">
        <v>45520</v>
      </c>
      <c r="B128" s="3">
        <v>3127</v>
      </c>
      <c r="C128" s="3">
        <v>1002</v>
      </c>
      <c r="D128" s="3">
        <v>2022</v>
      </c>
      <c r="E128" s="3">
        <v>8</v>
      </c>
      <c r="F128" s="3">
        <f>VLOOKUP(Sheet1!$D128,Customers!$A$1:$D$51,2,TRUE)</f>
        <v>19</v>
      </c>
      <c r="G128" s="3" t="str">
        <f>VLOOKUP(Sheet1!$D128,Customers!$A$1:$D$51,3,TRUE)</f>
        <v>Male</v>
      </c>
      <c r="H128" s="3" t="str">
        <f>VLOOKUP(Sheet1!$D128,Customers!$A$1:$D$51,4,TRUE)</f>
        <v>Pune</v>
      </c>
      <c r="I128" s="3" t="str">
        <f>VLOOKUP($C128,Products!$A$1:$E$21,2,TRUE)</f>
        <v>Keyboard</v>
      </c>
      <c r="J128" s="3" t="str">
        <f>VLOOKUP($C128,Products!$A$1:$E$21,3,TRUE)</f>
        <v>Electronics</v>
      </c>
      <c r="K128" s="4">
        <f>VLOOKUP($C128,Products!$A$1:$E$21,4,TRUE)</f>
        <v>230</v>
      </c>
      <c r="L128" s="4">
        <f>VLOOKUP($C128,Products!$A$1:$E$21,5,TRUE)</f>
        <v>400</v>
      </c>
      <c r="M128" s="4">
        <f t="shared" si="8"/>
        <v>1840</v>
      </c>
      <c r="N128" s="4">
        <f t="shared" si="9"/>
        <v>3200</v>
      </c>
      <c r="O128" s="4">
        <f t="shared" si="10"/>
        <v>1360</v>
      </c>
      <c r="P128" s="5">
        <f t="shared" si="11"/>
        <v>0.42499999999999999</v>
      </c>
      <c r="Q128" s="3" t="str">
        <f t="shared" si="12"/>
        <v>High_order</v>
      </c>
      <c r="R128" s="3" t="str">
        <f t="shared" si="13"/>
        <v>Young</v>
      </c>
      <c r="S128" s="11" t="str">
        <f t="shared" si="14"/>
        <v>High_profit</v>
      </c>
      <c r="T128" s="13" t="str">
        <f t="shared" si="15"/>
        <v>Aug</v>
      </c>
    </row>
    <row r="129" spans="1:20" x14ac:dyDescent="0.3">
      <c r="A129" s="9">
        <v>45341</v>
      </c>
      <c r="B129" s="3">
        <v>3128</v>
      </c>
      <c r="C129" s="3">
        <v>1020</v>
      </c>
      <c r="D129" s="3">
        <v>2014</v>
      </c>
      <c r="E129" s="3">
        <v>10</v>
      </c>
      <c r="F129" s="3">
        <f>VLOOKUP(Sheet1!$D129,Customers!$A$1:$D$51,2,TRUE)</f>
        <v>58</v>
      </c>
      <c r="G129" s="3" t="str">
        <f>VLOOKUP(Sheet1!$D129,Customers!$A$1:$D$51,3,TRUE)</f>
        <v>Female</v>
      </c>
      <c r="H129" s="3" t="str">
        <f>VLOOKUP(Sheet1!$D129,Customers!$A$1:$D$51,4,TRUE)</f>
        <v>Chandigarh</v>
      </c>
      <c r="I129" s="3" t="str">
        <f>VLOOKUP($C129,Products!$A$1:$E$21,2,TRUE)</f>
        <v>Water Bottle</v>
      </c>
      <c r="J129" s="3" t="str">
        <f>VLOOKUP($C129,Products!$A$1:$E$21,3,TRUE)</f>
        <v>Fitness</v>
      </c>
      <c r="K129" s="4">
        <f>VLOOKUP($C129,Products!$A$1:$E$21,4,TRUE)</f>
        <v>400</v>
      </c>
      <c r="L129" s="4">
        <f>VLOOKUP($C129,Products!$A$1:$E$21,5,TRUE)</f>
        <v>560</v>
      </c>
      <c r="M129" s="4">
        <f t="shared" si="8"/>
        <v>4000</v>
      </c>
      <c r="N129" s="4">
        <f t="shared" si="9"/>
        <v>5600</v>
      </c>
      <c r="O129" s="4">
        <f t="shared" si="10"/>
        <v>1600</v>
      </c>
      <c r="P129" s="5">
        <f t="shared" si="11"/>
        <v>0.2857142857142857</v>
      </c>
      <c r="Q129" s="3" t="str">
        <f t="shared" si="12"/>
        <v>High_order</v>
      </c>
      <c r="R129" s="3" t="str">
        <f t="shared" si="13"/>
        <v>Senior</v>
      </c>
      <c r="S129" s="11" t="str">
        <f t="shared" si="14"/>
        <v>Low_profit</v>
      </c>
      <c r="T129" s="13" t="str">
        <f t="shared" si="15"/>
        <v>Feb</v>
      </c>
    </row>
    <row r="130" spans="1:20" x14ac:dyDescent="0.3">
      <c r="A130" s="9">
        <v>45342</v>
      </c>
      <c r="B130" s="3">
        <v>3129</v>
      </c>
      <c r="C130" s="3">
        <v>1009</v>
      </c>
      <c r="D130" s="3">
        <v>2042</v>
      </c>
      <c r="E130" s="3">
        <v>2</v>
      </c>
      <c r="F130" s="3">
        <f>VLOOKUP(Sheet1!$D130,Customers!$A$1:$D$51,2,TRUE)</f>
        <v>18</v>
      </c>
      <c r="G130" s="3" t="str">
        <f>VLOOKUP(Sheet1!$D130,Customers!$A$1:$D$51,3,TRUE)</f>
        <v>Female</v>
      </c>
      <c r="H130" s="3" t="str">
        <f>VLOOKUP(Sheet1!$D130,Customers!$A$1:$D$51,4,TRUE)</f>
        <v>Bangalore</v>
      </c>
      <c r="I130" s="3" t="str">
        <f>VLOOKUP($C130,Products!$A$1:$E$21,2,TRUE)</f>
        <v>Power Bank</v>
      </c>
      <c r="J130" s="3" t="str">
        <f>VLOOKUP($C130,Products!$A$1:$E$21,3,TRUE)</f>
        <v>Accessories</v>
      </c>
      <c r="K130" s="4">
        <f>VLOOKUP($C130,Products!$A$1:$E$21,4,TRUE)</f>
        <v>50</v>
      </c>
      <c r="L130" s="4">
        <f>VLOOKUP($C130,Products!$A$1:$E$21,5,TRUE)</f>
        <v>220</v>
      </c>
      <c r="M130" s="4">
        <f t="shared" si="8"/>
        <v>100</v>
      </c>
      <c r="N130" s="4">
        <f t="shared" si="9"/>
        <v>440</v>
      </c>
      <c r="O130" s="4">
        <f t="shared" si="10"/>
        <v>340</v>
      </c>
      <c r="P130" s="5">
        <f t="shared" si="11"/>
        <v>0.77272727272727271</v>
      </c>
      <c r="Q130" s="3" t="str">
        <f t="shared" si="12"/>
        <v>Low_order</v>
      </c>
      <c r="R130" s="3" t="str">
        <f t="shared" si="13"/>
        <v>Young</v>
      </c>
      <c r="S130" s="11" t="str">
        <f t="shared" si="14"/>
        <v>High_profit</v>
      </c>
      <c r="T130" s="13" t="str">
        <f t="shared" si="15"/>
        <v>Feb</v>
      </c>
    </row>
    <row r="131" spans="1:20" x14ac:dyDescent="0.3">
      <c r="A131" s="9">
        <v>45560</v>
      </c>
      <c r="B131" s="3">
        <v>3130</v>
      </c>
      <c r="C131" s="3">
        <v>1006</v>
      </c>
      <c r="D131" s="3">
        <v>2049</v>
      </c>
      <c r="E131" s="3">
        <v>6</v>
      </c>
      <c r="F131" s="3">
        <f>VLOOKUP(Sheet1!$D131,Customers!$A$1:$D$51,2,TRUE)</f>
        <v>44</v>
      </c>
      <c r="G131" s="3" t="str">
        <f>VLOOKUP(Sheet1!$D131,Customers!$A$1:$D$51,3,TRUE)</f>
        <v>Female</v>
      </c>
      <c r="H131" s="3" t="str">
        <f>VLOOKUP(Sheet1!$D131,Customers!$A$1:$D$51,4,TRUE)</f>
        <v>Delhi</v>
      </c>
      <c r="I131" s="3" t="str">
        <f>VLOOKUP($C131,Products!$A$1:$E$21,2,TRUE)</f>
        <v>Phone Case</v>
      </c>
      <c r="J131" s="3" t="str">
        <f>VLOOKUP($C131,Products!$A$1:$E$21,3,TRUE)</f>
        <v>Accessories</v>
      </c>
      <c r="K131" s="4">
        <f>VLOOKUP($C131,Products!$A$1:$E$21,4,TRUE)</f>
        <v>320</v>
      </c>
      <c r="L131" s="4">
        <f>VLOOKUP($C131,Products!$A$1:$E$21,5,TRUE)</f>
        <v>430</v>
      </c>
      <c r="M131" s="4">
        <f t="shared" ref="M131:M194" si="16">$K131*$E131</f>
        <v>1920</v>
      </c>
      <c r="N131" s="4">
        <f t="shared" ref="N131:N194" si="17">$L131*$E131</f>
        <v>2580</v>
      </c>
      <c r="O131" s="4">
        <f t="shared" ref="O131:O194" si="18">$N131-$M131</f>
        <v>660</v>
      </c>
      <c r="P131" s="5">
        <f t="shared" ref="P131:P194" si="19">$O131/$N131</f>
        <v>0.2558139534883721</v>
      </c>
      <c r="Q131" s="3" t="str">
        <f t="shared" ref="Q131:Q194" si="20">IF($N131&lt;$N$508,"Low_order",IF($N131&lt;$N$509,"Medium_order","High_order"))</f>
        <v>High_order</v>
      </c>
      <c r="R131" s="3" t="str">
        <f t="shared" ref="R131:R194" si="21">IF($F131&lt;$F$508,"Young",IF($F131&lt;$F$509,"Middle_age","Senior"))</f>
        <v>Senior</v>
      </c>
      <c r="S131" s="11" t="str">
        <f t="shared" ref="S131:S194" si="22">IF(P131&lt;$P$508,"Low_profit",IF(P131&lt;$P$509,"Medium_profit","High_profit"))</f>
        <v>Low_profit</v>
      </c>
      <c r="T131" s="13" t="str">
        <f t="shared" ref="T131:T194" si="23">TEXT(A131,"MMM")</f>
        <v>Sep</v>
      </c>
    </row>
    <row r="132" spans="1:20" x14ac:dyDescent="0.3">
      <c r="A132" s="9">
        <v>45514</v>
      </c>
      <c r="B132" s="3">
        <v>3131</v>
      </c>
      <c r="C132" s="3">
        <v>1009</v>
      </c>
      <c r="D132" s="3">
        <v>2017</v>
      </c>
      <c r="E132" s="3">
        <v>2</v>
      </c>
      <c r="F132" s="3">
        <f>VLOOKUP(Sheet1!$D132,Customers!$A$1:$D$51,2,TRUE)</f>
        <v>32</v>
      </c>
      <c r="G132" s="3" t="str">
        <f>VLOOKUP(Sheet1!$D132,Customers!$A$1:$D$51,3,TRUE)</f>
        <v>Male</v>
      </c>
      <c r="H132" s="3" t="str">
        <f>VLOOKUP(Sheet1!$D132,Customers!$A$1:$D$51,4,TRUE)</f>
        <v>Delhi</v>
      </c>
      <c r="I132" s="3" t="str">
        <f>VLOOKUP($C132,Products!$A$1:$E$21,2,TRUE)</f>
        <v>Power Bank</v>
      </c>
      <c r="J132" s="3" t="str">
        <f>VLOOKUP($C132,Products!$A$1:$E$21,3,TRUE)</f>
        <v>Accessories</v>
      </c>
      <c r="K132" s="4">
        <f>VLOOKUP($C132,Products!$A$1:$E$21,4,TRUE)</f>
        <v>50</v>
      </c>
      <c r="L132" s="4">
        <f>VLOOKUP($C132,Products!$A$1:$E$21,5,TRUE)</f>
        <v>220</v>
      </c>
      <c r="M132" s="4">
        <f t="shared" si="16"/>
        <v>100</v>
      </c>
      <c r="N132" s="4">
        <f t="shared" si="17"/>
        <v>440</v>
      </c>
      <c r="O132" s="4">
        <f t="shared" si="18"/>
        <v>340</v>
      </c>
      <c r="P132" s="5">
        <f t="shared" si="19"/>
        <v>0.77272727272727271</v>
      </c>
      <c r="Q132" s="3" t="str">
        <f t="shared" si="20"/>
        <v>Low_order</v>
      </c>
      <c r="R132" s="3" t="str">
        <f t="shared" si="21"/>
        <v>Middle_age</v>
      </c>
      <c r="S132" s="11" t="str">
        <f t="shared" si="22"/>
        <v>High_profit</v>
      </c>
      <c r="T132" s="13" t="str">
        <f t="shared" si="23"/>
        <v>Aug</v>
      </c>
    </row>
    <row r="133" spans="1:20" x14ac:dyDescent="0.3">
      <c r="A133" s="9">
        <v>45377</v>
      </c>
      <c r="B133" s="3">
        <v>3132</v>
      </c>
      <c r="C133" s="3">
        <v>1014</v>
      </c>
      <c r="D133" s="3">
        <v>2013</v>
      </c>
      <c r="E133" s="3">
        <v>6</v>
      </c>
      <c r="F133" s="3">
        <f>VLOOKUP(Sheet1!$D133,Customers!$A$1:$D$51,2,TRUE)</f>
        <v>37</v>
      </c>
      <c r="G133" s="3" t="str">
        <f>VLOOKUP(Sheet1!$D133,Customers!$A$1:$D$51,3,TRUE)</f>
        <v>Male</v>
      </c>
      <c r="H133" s="3" t="str">
        <f>VLOOKUP(Sheet1!$D133,Customers!$A$1:$D$51,4,TRUE)</f>
        <v>Hyderabad</v>
      </c>
      <c r="I133" s="3" t="str">
        <f>VLOOKUP($C133,Products!$A$1:$E$21,2,TRUE)</f>
        <v>Stapler</v>
      </c>
      <c r="J133" s="3" t="str">
        <f>VLOOKUP($C133,Products!$A$1:$E$21,3,TRUE)</f>
        <v>Office</v>
      </c>
      <c r="K133" s="4">
        <f>VLOOKUP($C133,Products!$A$1:$E$21,4,TRUE)</f>
        <v>170</v>
      </c>
      <c r="L133" s="4">
        <f>VLOOKUP($C133,Products!$A$1:$E$21,5,TRUE)</f>
        <v>280</v>
      </c>
      <c r="M133" s="4">
        <f t="shared" si="16"/>
        <v>1020</v>
      </c>
      <c r="N133" s="4">
        <f t="shared" si="17"/>
        <v>1680</v>
      </c>
      <c r="O133" s="4">
        <f t="shared" si="18"/>
        <v>660</v>
      </c>
      <c r="P133" s="5">
        <f t="shared" si="19"/>
        <v>0.39285714285714285</v>
      </c>
      <c r="Q133" s="3" t="str">
        <f t="shared" si="20"/>
        <v>Medium_order</v>
      </c>
      <c r="R133" s="3" t="str">
        <f t="shared" si="21"/>
        <v>Middle_age</v>
      </c>
      <c r="S133" s="11" t="str">
        <f t="shared" si="22"/>
        <v>Medium_profit</v>
      </c>
      <c r="T133" s="13" t="str">
        <f t="shared" si="23"/>
        <v>Mar</v>
      </c>
    </row>
    <row r="134" spans="1:20" x14ac:dyDescent="0.3">
      <c r="A134" s="9">
        <v>45451</v>
      </c>
      <c r="B134" s="3">
        <v>3133</v>
      </c>
      <c r="C134" s="3">
        <v>1012</v>
      </c>
      <c r="D134" s="3">
        <v>2049</v>
      </c>
      <c r="E134" s="3">
        <v>2</v>
      </c>
      <c r="F134" s="3">
        <f>VLOOKUP(Sheet1!$D134,Customers!$A$1:$D$51,2,TRUE)</f>
        <v>44</v>
      </c>
      <c r="G134" s="3" t="str">
        <f>VLOOKUP(Sheet1!$D134,Customers!$A$1:$D$51,3,TRUE)</f>
        <v>Female</v>
      </c>
      <c r="H134" s="3" t="str">
        <f>VLOOKUP(Sheet1!$D134,Customers!$A$1:$D$51,4,TRUE)</f>
        <v>Delhi</v>
      </c>
      <c r="I134" s="3" t="str">
        <f>VLOOKUP($C134,Products!$A$1:$E$21,2,TRUE)</f>
        <v>Pen Set</v>
      </c>
      <c r="J134" s="3" t="str">
        <f>VLOOKUP($C134,Products!$A$1:$E$21,3,TRUE)</f>
        <v>Office</v>
      </c>
      <c r="K134" s="4">
        <f>VLOOKUP($C134,Products!$A$1:$E$21,4,TRUE)</f>
        <v>380</v>
      </c>
      <c r="L134" s="4">
        <f>VLOOKUP($C134,Products!$A$1:$E$21,5,TRUE)</f>
        <v>510</v>
      </c>
      <c r="M134" s="4">
        <f t="shared" si="16"/>
        <v>760</v>
      </c>
      <c r="N134" s="4">
        <f t="shared" si="17"/>
        <v>1020</v>
      </c>
      <c r="O134" s="4">
        <f t="shared" si="18"/>
        <v>260</v>
      </c>
      <c r="P134" s="5">
        <f t="shared" si="19"/>
        <v>0.25490196078431371</v>
      </c>
      <c r="Q134" s="3" t="str">
        <f t="shared" si="20"/>
        <v>Low_order</v>
      </c>
      <c r="R134" s="3" t="str">
        <f t="shared" si="21"/>
        <v>Senior</v>
      </c>
      <c r="S134" s="11" t="str">
        <f t="shared" si="22"/>
        <v>Low_profit</v>
      </c>
      <c r="T134" s="13" t="str">
        <f t="shared" si="23"/>
        <v>Jun</v>
      </c>
    </row>
    <row r="135" spans="1:20" x14ac:dyDescent="0.3">
      <c r="A135" s="9">
        <v>45603</v>
      </c>
      <c r="B135" s="3">
        <v>3134</v>
      </c>
      <c r="C135" s="3">
        <v>1017</v>
      </c>
      <c r="D135" s="3">
        <v>2050</v>
      </c>
      <c r="E135" s="3">
        <v>8</v>
      </c>
      <c r="F135" s="3">
        <f>VLOOKUP(Sheet1!$D135,Customers!$A$1:$D$51,2,TRUE)</f>
        <v>54</v>
      </c>
      <c r="G135" s="3" t="str">
        <f>VLOOKUP(Sheet1!$D135,Customers!$A$1:$D$51,3,TRUE)</f>
        <v>Female</v>
      </c>
      <c r="H135" s="3" t="str">
        <f>VLOOKUP(Sheet1!$D135,Customers!$A$1:$D$51,4,TRUE)</f>
        <v>Delhi</v>
      </c>
      <c r="I135" s="3" t="str">
        <f>VLOOKUP($C135,Products!$A$1:$E$21,2,TRUE)</f>
        <v>Dumbbells</v>
      </c>
      <c r="J135" s="3" t="str">
        <f>VLOOKUP($C135,Products!$A$1:$E$21,3,TRUE)</f>
        <v>Fitness</v>
      </c>
      <c r="K135" s="4">
        <f>VLOOKUP($C135,Products!$A$1:$E$21,4,TRUE)</f>
        <v>120</v>
      </c>
      <c r="L135" s="4">
        <f>VLOOKUP($C135,Products!$A$1:$E$21,5,TRUE)</f>
        <v>200</v>
      </c>
      <c r="M135" s="4">
        <f t="shared" si="16"/>
        <v>960</v>
      </c>
      <c r="N135" s="4">
        <f t="shared" si="17"/>
        <v>1600</v>
      </c>
      <c r="O135" s="4">
        <f t="shared" si="18"/>
        <v>640</v>
      </c>
      <c r="P135" s="5">
        <f t="shared" si="19"/>
        <v>0.4</v>
      </c>
      <c r="Q135" s="3" t="str">
        <f t="shared" si="20"/>
        <v>Medium_order</v>
      </c>
      <c r="R135" s="3" t="str">
        <f t="shared" si="21"/>
        <v>Senior</v>
      </c>
      <c r="S135" s="11" t="str">
        <f t="shared" si="22"/>
        <v>Medium_profit</v>
      </c>
      <c r="T135" s="13" t="str">
        <f t="shared" si="23"/>
        <v>Nov</v>
      </c>
    </row>
    <row r="136" spans="1:20" x14ac:dyDescent="0.3">
      <c r="A136" s="9">
        <v>45640</v>
      </c>
      <c r="B136" s="3">
        <v>3135</v>
      </c>
      <c r="C136" s="3">
        <v>1007</v>
      </c>
      <c r="D136" s="3">
        <v>2037</v>
      </c>
      <c r="E136" s="3">
        <v>3</v>
      </c>
      <c r="F136" s="3">
        <f>VLOOKUP(Sheet1!$D136,Customers!$A$1:$D$51,2,TRUE)</f>
        <v>38</v>
      </c>
      <c r="G136" s="3" t="str">
        <f>VLOOKUP(Sheet1!$D136,Customers!$A$1:$D$51,3,TRUE)</f>
        <v>Male</v>
      </c>
      <c r="H136" s="3" t="str">
        <f>VLOOKUP(Sheet1!$D136,Customers!$A$1:$D$51,4,TRUE)</f>
        <v>Chandigarh</v>
      </c>
      <c r="I136" s="3" t="str">
        <f>VLOOKUP($C136,Products!$A$1:$E$21,2,TRUE)</f>
        <v>Charger</v>
      </c>
      <c r="J136" s="3" t="str">
        <f>VLOOKUP($C136,Products!$A$1:$E$21,3,TRUE)</f>
        <v>Accessories</v>
      </c>
      <c r="K136" s="4">
        <f>VLOOKUP($C136,Products!$A$1:$E$21,4,TRUE)</f>
        <v>160</v>
      </c>
      <c r="L136" s="4">
        <f>VLOOKUP($C136,Products!$A$1:$E$21,5,TRUE)</f>
        <v>230</v>
      </c>
      <c r="M136" s="4">
        <f t="shared" si="16"/>
        <v>480</v>
      </c>
      <c r="N136" s="4">
        <f t="shared" si="17"/>
        <v>690</v>
      </c>
      <c r="O136" s="4">
        <f t="shared" si="18"/>
        <v>210</v>
      </c>
      <c r="P136" s="5">
        <f t="shared" si="19"/>
        <v>0.30434782608695654</v>
      </c>
      <c r="Q136" s="3" t="str">
        <f t="shared" si="20"/>
        <v>Low_order</v>
      </c>
      <c r="R136" s="3" t="str">
        <f t="shared" si="21"/>
        <v>Middle_age</v>
      </c>
      <c r="S136" s="11" t="str">
        <f t="shared" si="22"/>
        <v>Low_profit</v>
      </c>
      <c r="T136" s="13" t="str">
        <f t="shared" si="23"/>
        <v>Dec</v>
      </c>
    </row>
    <row r="137" spans="1:20" x14ac:dyDescent="0.3">
      <c r="A137" s="9">
        <v>45467</v>
      </c>
      <c r="B137" s="3">
        <v>3136</v>
      </c>
      <c r="C137" s="3">
        <v>1004</v>
      </c>
      <c r="D137" s="3">
        <v>2006</v>
      </c>
      <c r="E137" s="3">
        <v>7</v>
      </c>
      <c r="F137" s="3">
        <f>VLOOKUP(Sheet1!$D137,Customers!$A$1:$D$51,2,TRUE)</f>
        <v>32</v>
      </c>
      <c r="G137" s="3" t="str">
        <f>VLOOKUP(Sheet1!$D137,Customers!$A$1:$D$51,3,TRUE)</f>
        <v>Male</v>
      </c>
      <c r="H137" s="3" t="str">
        <f>VLOOKUP(Sheet1!$D137,Customers!$A$1:$D$51,4,TRUE)</f>
        <v>Hyderabad</v>
      </c>
      <c r="I137" s="3" t="str">
        <f>VLOOKUP($C137,Products!$A$1:$E$21,2,TRUE)</f>
        <v>Speaker</v>
      </c>
      <c r="J137" s="3" t="str">
        <f>VLOOKUP($C137,Products!$A$1:$E$21,3,TRUE)</f>
        <v>Electronics</v>
      </c>
      <c r="K137" s="4">
        <f>VLOOKUP($C137,Products!$A$1:$E$21,4,TRUE)</f>
        <v>230</v>
      </c>
      <c r="L137" s="4">
        <f>VLOOKUP($C137,Products!$A$1:$E$21,5,TRUE)</f>
        <v>440</v>
      </c>
      <c r="M137" s="4">
        <f t="shared" si="16"/>
        <v>1610</v>
      </c>
      <c r="N137" s="4">
        <f t="shared" si="17"/>
        <v>3080</v>
      </c>
      <c r="O137" s="4">
        <f t="shared" si="18"/>
        <v>1470</v>
      </c>
      <c r="P137" s="5">
        <f t="shared" si="19"/>
        <v>0.47727272727272729</v>
      </c>
      <c r="Q137" s="3" t="str">
        <f t="shared" si="20"/>
        <v>High_order</v>
      </c>
      <c r="R137" s="3" t="str">
        <f t="shared" si="21"/>
        <v>Middle_age</v>
      </c>
      <c r="S137" s="11" t="str">
        <f t="shared" si="22"/>
        <v>High_profit</v>
      </c>
      <c r="T137" s="13" t="str">
        <f t="shared" si="23"/>
        <v>Jun</v>
      </c>
    </row>
    <row r="138" spans="1:20" x14ac:dyDescent="0.3">
      <c r="A138" s="9">
        <v>45356</v>
      </c>
      <c r="B138" s="3">
        <v>3137</v>
      </c>
      <c r="C138" s="3">
        <v>1013</v>
      </c>
      <c r="D138" s="3">
        <v>2019</v>
      </c>
      <c r="E138" s="3">
        <v>1</v>
      </c>
      <c r="F138" s="3">
        <f>VLOOKUP(Sheet1!$D138,Customers!$A$1:$D$51,2,TRUE)</f>
        <v>57</v>
      </c>
      <c r="G138" s="3" t="str">
        <f>VLOOKUP(Sheet1!$D138,Customers!$A$1:$D$51,3,TRUE)</f>
        <v>Male</v>
      </c>
      <c r="H138" s="3" t="str">
        <f>VLOOKUP(Sheet1!$D138,Customers!$A$1:$D$51,4,TRUE)</f>
        <v>Chandigarh</v>
      </c>
      <c r="I138" s="3" t="str">
        <f>VLOOKUP($C138,Products!$A$1:$E$21,2,TRUE)</f>
        <v>Desk Lamp</v>
      </c>
      <c r="J138" s="3" t="str">
        <f>VLOOKUP($C138,Products!$A$1:$E$21,3,TRUE)</f>
        <v>Office</v>
      </c>
      <c r="K138" s="4">
        <f>VLOOKUP($C138,Products!$A$1:$E$21,4,TRUE)</f>
        <v>140</v>
      </c>
      <c r="L138" s="4">
        <f>VLOOKUP($C138,Products!$A$1:$E$21,5,TRUE)</f>
        <v>390</v>
      </c>
      <c r="M138" s="4">
        <f t="shared" si="16"/>
        <v>140</v>
      </c>
      <c r="N138" s="4">
        <f t="shared" si="17"/>
        <v>390</v>
      </c>
      <c r="O138" s="4">
        <f t="shared" si="18"/>
        <v>250</v>
      </c>
      <c r="P138" s="5">
        <f t="shared" si="19"/>
        <v>0.64102564102564108</v>
      </c>
      <c r="Q138" s="3" t="str">
        <f t="shared" si="20"/>
        <v>Low_order</v>
      </c>
      <c r="R138" s="3" t="str">
        <f t="shared" si="21"/>
        <v>Senior</v>
      </c>
      <c r="S138" s="11" t="str">
        <f t="shared" si="22"/>
        <v>High_profit</v>
      </c>
      <c r="T138" s="13" t="str">
        <f t="shared" si="23"/>
        <v>Mar</v>
      </c>
    </row>
    <row r="139" spans="1:20" x14ac:dyDescent="0.3">
      <c r="A139" s="9">
        <v>45646</v>
      </c>
      <c r="B139" s="3">
        <v>3138</v>
      </c>
      <c r="C139" s="3">
        <v>1014</v>
      </c>
      <c r="D139" s="3">
        <v>2040</v>
      </c>
      <c r="E139" s="3">
        <v>10</v>
      </c>
      <c r="F139" s="3">
        <f>VLOOKUP(Sheet1!$D139,Customers!$A$1:$D$51,2,TRUE)</f>
        <v>40</v>
      </c>
      <c r="G139" s="3" t="str">
        <f>VLOOKUP(Sheet1!$D139,Customers!$A$1:$D$51,3,TRUE)</f>
        <v>Male</v>
      </c>
      <c r="H139" s="3" t="str">
        <f>VLOOKUP(Sheet1!$D139,Customers!$A$1:$D$51,4,TRUE)</f>
        <v>Hyderabad</v>
      </c>
      <c r="I139" s="3" t="str">
        <f>VLOOKUP($C139,Products!$A$1:$E$21,2,TRUE)</f>
        <v>Stapler</v>
      </c>
      <c r="J139" s="3" t="str">
        <f>VLOOKUP($C139,Products!$A$1:$E$21,3,TRUE)</f>
        <v>Office</v>
      </c>
      <c r="K139" s="4">
        <f>VLOOKUP($C139,Products!$A$1:$E$21,4,TRUE)</f>
        <v>170</v>
      </c>
      <c r="L139" s="4">
        <f>VLOOKUP($C139,Products!$A$1:$E$21,5,TRUE)</f>
        <v>280</v>
      </c>
      <c r="M139" s="4">
        <f t="shared" si="16"/>
        <v>1700</v>
      </c>
      <c r="N139" s="4">
        <f t="shared" si="17"/>
        <v>2800</v>
      </c>
      <c r="O139" s="4">
        <f t="shared" si="18"/>
        <v>1100</v>
      </c>
      <c r="P139" s="5">
        <f t="shared" si="19"/>
        <v>0.39285714285714285</v>
      </c>
      <c r="Q139" s="3" t="str">
        <f t="shared" si="20"/>
        <v>High_order</v>
      </c>
      <c r="R139" s="3" t="str">
        <f t="shared" si="21"/>
        <v>Middle_age</v>
      </c>
      <c r="S139" s="11" t="str">
        <f t="shared" si="22"/>
        <v>Medium_profit</v>
      </c>
      <c r="T139" s="13" t="str">
        <f t="shared" si="23"/>
        <v>Dec</v>
      </c>
    </row>
    <row r="140" spans="1:20" x14ac:dyDescent="0.3">
      <c r="A140" s="9">
        <v>45439</v>
      </c>
      <c r="B140" s="3">
        <v>3139</v>
      </c>
      <c r="C140" s="3">
        <v>1006</v>
      </c>
      <c r="D140" s="3">
        <v>2032</v>
      </c>
      <c r="E140" s="3">
        <v>10</v>
      </c>
      <c r="F140" s="3">
        <f>VLOOKUP(Sheet1!$D140,Customers!$A$1:$D$51,2,TRUE)</f>
        <v>42</v>
      </c>
      <c r="G140" s="3" t="str">
        <f>VLOOKUP(Sheet1!$D140,Customers!$A$1:$D$51,3,TRUE)</f>
        <v>Male</v>
      </c>
      <c r="H140" s="3" t="str">
        <f>VLOOKUP(Sheet1!$D140,Customers!$A$1:$D$51,4,TRUE)</f>
        <v>Hyderabad</v>
      </c>
      <c r="I140" s="3" t="str">
        <f>VLOOKUP($C140,Products!$A$1:$E$21,2,TRUE)</f>
        <v>Phone Case</v>
      </c>
      <c r="J140" s="3" t="str">
        <f>VLOOKUP($C140,Products!$A$1:$E$21,3,TRUE)</f>
        <v>Accessories</v>
      </c>
      <c r="K140" s="4">
        <f>VLOOKUP($C140,Products!$A$1:$E$21,4,TRUE)</f>
        <v>320</v>
      </c>
      <c r="L140" s="4">
        <f>VLOOKUP($C140,Products!$A$1:$E$21,5,TRUE)</f>
        <v>430</v>
      </c>
      <c r="M140" s="4">
        <f t="shared" si="16"/>
        <v>3200</v>
      </c>
      <c r="N140" s="4">
        <f t="shared" si="17"/>
        <v>4300</v>
      </c>
      <c r="O140" s="4">
        <f t="shared" si="18"/>
        <v>1100</v>
      </c>
      <c r="P140" s="5">
        <f t="shared" si="19"/>
        <v>0.2558139534883721</v>
      </c>
      <c r="Q140" s="3" t="str">
        <f t="shared" si="20"/>
        <v>High_order</v>
      </c>
      <c r="R140" s="3" t="str">
        <f t="shared" si="21"/>
        <v>Senior</v>
      </c>
      <c r="S140" s="11" t="str">
        <f t="shared" si="22"/>
        <v>Low_profit</v>
      </c>
      <c r="T140" s="13" t="str">
        <f t="shared" si="23"/>
        <v>May</v>
      </c>
    </row>
    <row r="141" spans="1:20" x14ac:dyDescent="0.3">
      <c r="A141" s="9">
        <v>45329</v>
      </c>
      <c r="B141" s="3">
        <v>3140</v>
      </c>
      <c r="C141" s="3">
        <v>1003</v>
      </c>
      <c r="D141" s="3">
        <v>2006</v>
      </c>
      <c r="E141" s="3">
        <v>5</v>
      </c>
      <c r="F141" s="3">
        <f>VLOOKUP(Sheet1!$D141,Customers!$A$1:$D$51,2,TRUE)</f>
        <v>32</v>
      </c>
      <c r="G141" s="3" t="str">
        <f>VLOOKUP(Sheet1!$D141,Customers!$A$1:$D$51,3,TRUE)</f>
        <v>Male</v>
      </c>
      <c r="H141" s="3" t="str">
        <f>VLOOKUP(Sheet1!$D141,Customers!$A$1:$D$51,4,TRUE)</f>
        <v>Hyderabad</v>
      </c>
      <c r="I141" s="3" t="str">
        <f>VLOOKUP($C141,Products!$A$1:$E$21,2,TRUE)</f>
        <v>Mouse</v>
      </c>
      <c r="J141" s="3" t="str">
        <f>VLOOKUP($C141,Products!$A$1:$E$21,3,TRUE)</f>
        <v>Electronics</v>
      </c>
      <c r="K141" s="4">
        <f>VLOOKUP($C141,Products!$A$1:$E$21,4,TRUE)</f>
        <v>140</v>
      </c>
      <c r="L141" s="4">
        <f>VLOOKUP($C141,Products!$A$1:$E$21,5,TRUE)</f>
        <v>350</v>
      </c>
      <c r="M141" s="4">
        <f t="shared" si="16"/>
        <v>700</v>
      </c>
      <c r="N141" s="4">
        <f t="shared" si="17"/>
        <v>1750</v>
      </c>
      <c r="O141" s="4">
        <f t="shared" si="18"/>
        <v>1050</v>
      </c>
      <c r="P141" s="5">
        <f t="shared" si="19"/>
        <v>0.6</v>
      </c>
      <c r="Q141" s="3" t="str">
        <f t="shared" si="20"/>
        <v>Medium_order</v>
      </c>
      <c r="R141" s="3" t="str">
        <f t="shared" si="21"/>
        <v>Middle_age</v>
      </c>
      <c r="S141" s="11" t="str">
        <f t="shared" si="22"/>
        <v>High_profit</v>
      </c>
      <c r="T141" s="13" t="str">
        <f t="shared" si="23"/>
        <v>Feb</v>
      </c>
    </row>
    <row r="142" spans="1:20" x14ac:dyDescent="0.3">
      <c r="A142" s="9">
        <v>45561</v>
      </c>
      <c r="B142" s="3">
        <v>3141</v>
      </c>
      <c r="C142" s="3">
        <v>1011</v>
      </c>
      <c r="D142" s="3">
        <v>2034</v>
      </c>
      <c r="E142" s="3">
        <v>7</v>
      </c>
      <c r="F142" s="3">
        <f>VLOOKUP(Sheet1!$D142,Customers!$A$1:$D$51,2,TRUE)</f>
        <v>48</v>
      </c>
      <c r="G142" s="3" t="str">
        <f>VLOOKUP(Sheet1!$D142,Customers!$A$1:$D$51,3,TRUE)</f>
        <v>Female</v>
      </c>
      <c r="H142" s="3" t="str">
        <f>VLOOKUP(Sheet1!$D142,Customers!$A$1:$D$51,4,TRUE)</f>
        <v>Pune</v>
      </c>
      <c r="I142" s="3" t="str">
        <f>VLOOKUP($C142,Products!$A$1:$E$21,2,TRUE)</f>
        <v>Notebook</v>
      </c>
      <c r="J142" s="3" t="str">
        <f>VLOOKUP($C142,Products!$A$1:$E$21,3,TRUE)</f>
        <v>Office</v>
      </c>
      <c r="K142" s="4">
        <f>VLOOKUP($C142,Products!$A$1:$E$21,4,TRUE)</f>
        <v>120</v>
      </c>
      <c r="L142" s="4">
        <f>VLOOKUP($C142,Products!$A$1:$E$21,5,TRUE)</f>
        <v>180</v>
      </c>
      <c r="M142" s="4">
        <f t="shared" si="16"/>
        <v>840</v>
      </c>
      <c r="N142" s="4">
        <f t="shared" si="17"/>
        <v>1260</v>
      </c>
      <c r="O142" s="4">
        <f t="shared" si="18"/>
        <v>420</v>
      </c>
      <c r="P142" s="5">
        <f t="shared" si="19"/>
        <v>0.33333333333333331</v>
      </c>
      <c r="Q142" s="3" t="str">
        <f t="shared" si="20"/>
        <v>Low_order</v>
      </c>
      <c r="R142" s="3" t="str">
        <f t="shared" si="21"/>
        <v>Senior</v>
      </c>
      <c r="S142" s="11" t="str">
        <f t="shared" si="22"/>
        <v>Medium_profit</v>
      </c>
      <c r="T142" s="13" t="str">
        <f t="shared" si="23"/>
        <v>Sep</v>
      </c>
    </row>
    <row r="143" spans="1:20" x14ac:dyDescent="0.3">
      <c r="A143" s="9">
        <v>45485</v>
      </c>
      <c r="B143" s="3">
        <v>3142</v>
      </c>
      <c r="C143" s="3">
        <v>1004</v>
      </c>
      <c r="D143" s="3">
        <v>2023</v>
      </c>
      <c r="E143" s="3">
        <v>3</v>
      </c>
      <c r="F143" s="3">
        <f>VLOOKUP(Sheet1!$D143,Customers!$A$1:$D$51,2,TRUE)</f>
        <v>41</v>
      </c>
      <c r="G143" s="3" t="str">
        <f>VLOOKUP(Sheet1!$D143,Customers!$A$1:$D$51,3,TRUE)</f>
        <v>Male</v>
      </c>
      <c r="H143" s="3" t="str">
        <f>VLOOKUP(Sheet1!$D143,Customers!$A$1:$D$51,4,TRUE)</f>
        <v>Delhi</v>
      </c>
      <c r="I143" s="3" t="str">
        <f>VLOOKUP($C143,Products!$A$1:$E$21,2,TRUE)</f>
        <v>Speaker</v>
      </c>
      <c r="J143" s="3" t="str">
        <f>VLOOKUP($C143,Products!$A$1:$E$21,3,TRUE)</f>
        <v>Electronics</v>
      </c>
      <c r="K143" s="4">
        <f>VLOOKUP($C143,Products!$A$1:$E$21,4,TRUE)</f>
        <v>230</v>
      </c>
      <c r="L143" s="4">
        <f>VLOOKUP($C143,Products!$A$1:$E$21,5,TRUE)</f>
        <v>440</v>
      </c>
      <c r="M143" s="4">
        <f t="shared" si="16"/>
        <v>690</v>
      </c>
      <c r="N143" s="4">
        <f t="shared" si="17"/>
        <v>1320</v>
      </c>
      <c r="O143" s="4">
        <f t="shared" si="18"/>
        <v>630</v>
      </c>
      <c r="P143" s="5">
        <f t="shared" si="19"/>
        <v>0.47727272727272729</v>
      </c>
      <c r="Q143" s="3" t="str">
        <f t="shared" si="20"/>
        <v>Medium_order</v>
      </c>
      <c r="R143" s="3" t="str">
        <f t="shared" si="21"/>
        <v>Senior</v>
      </c>
      <c r="S143" s="11" t="str">
        <f t="shared" si="22"/>
        <v>High_profit</v>
      </c>
      <c r="T143" s="13" t="str">
        <f t="shared" si="23"/>
        <v>Jul</v>
      </c>
    </row>
    <row r="144" spans="1:20" x14ac:dyDescent="0.3">
      <c r="A144" s="9">
        <v>45464</v>
      </c>
      <c r="B144" s="3">
        <v>3143</v>
      </c>
      <c r="C144" s="3">
        <v>1020</v>
      </c>
      <c r="D144" s="3">
        <v>2008</v>
      </c>
      <c r="E144" s="3">
        <v>10</v>
      </c>
      <c r="F144" s="3">
        <f>VLOOKUP(Sheet1!$D144,Customers!$A$1:$D$51,2,TRUE)</f>
        <v>36</v>
      </c>
      <c r="G144" s="3" t="str">
        <f>VLOOKUP(Sheet1!$D144,Customers!$A$1:$D$51,3,TRUE)</f>
        <v>Male</v>
      </c>
      <c r="H144" s="3" t="str">
        <f>VLOOKUP(Sheet1!$D144,Customers!$A$1:$D$51,4,TRUE)</f>
        <v>Mumbai</v>
      </c>
      <c r="I144" s="3" t="str">
        <f>VLOOKUP($C144,Products!$A$1:$E$21,2,TRUE)</f>
        <v>Water Bottle</v>
      </c>
      <c r="J144" s="3" t="str">
        <f>VLOOKUP($C144,Products!$A$1:$E$21,3,TRUE)</f>
        <v>Fitness</v>
      </c>
      <c r="K144" s="4">
        <f>VLOOKUP($C144,Products!$A$1:$E$21,4,TRUE)</f>
        <v>400</v>
      </c>
      <c r="L144" s="4">
        <f>VLOOKUP($C144,Products!$A$1:$E$21,5,TRUE)</f>
        <v>560</v>
      </c>
      <c r="M144" s="4">
        <f t="shared" si="16"/>
        <v>4000</v>
      </c>
      <c r="N144" s="4">
        <f t="shared" si="17"/>
        <v>5600</v>
      </c>
      <c r="O144" s="4">
        <f t="shared" si="18"/>
        <v>1600</v>
      </c>
      <c r="P144" s="5">
        <f t="shared" si="19"/>
        <v>0.2857142857142857</v>
      </c>
      <c r="Q144" s="3" t="str">
        <f t="shared" si="20"/>
        <v>High_order</v>
      </c>
      <c r="R144" s="3" t="str">
        <f t="shared" si="21"/>
        <v>Middle_age</v>
      </c>
      <c r="S144" s="11" t="str">
        <f t="shared" si="22"/>
        <v>Low_profit</v>
      </c>
      <c r="T144" s="13" t="str">
        <f t="shared" si="23"/>
        <v>Jun</v>
      </c>
    </row>
    <row r="145" spans="1:20" x14ac:dyDescent="0.3">
      <c r="A145" s="9">
        <v>45488</v>
      </c>
      <c r="B145" s="3">
        <v>3144</v>
      </c>
      <c r="C145" s="3">
        <v>1011</v>
      </c>
      <c r="D145" s="3">
        <v>2035</v>
      </c>
      <c r="E145" s="3">
        <v>7</v>
      </c>
      <c r="F145" s="3">
        <f>VLOOKUP(Sheet1!$D145,Customers!$A$1:$D$51,2,TRUE)</f>
        <v>37</v>
      </c>
      <c r="G145" s="3" t="str">
        <f>VLOOKUP(Sheet1!$D145,Customers!$A$1:$D$51,3,TRUE)</f>
        <v>Female</v>
      </c>
      <c r="H145" s="3" t="str">
        <f>VLOOKUP(Sheet1!$D145,Customers!$A$1:$D$51,4,TRUE)</f>
        <v>Delhi</v>
      </c>
      <c r="I145" s="3" t="str">
        <f>VLOOKUP($C145,Products!$A$1:$E$21,2,TRUE)</f>
        <v>Notebook</v>
      </c>
      <c r="J145" s="3" t="str">
        <f>VLOOKUP($C145,Products!$A$1:$E$21,3,TRUE)</f>
        <v>Office</v>
      </c>
      <c r="K145" s="4">
        <f>VLOOKUP($C145,Products!$A$1:$E$21,4,TRUE)</f>
        <v>120</v>
      </c>
      <c r="L145" s="4">
        <f>VLOOKUP($C145,Products!$A$1:$E$21,5,TRUE)</f>
        <v>180</v>
      </c>
      <c r="M145" s="4">
        <f t="shared" si="16"/>
        <v>840</v>
      </c>
      <c r="N145" s="4">
        <f t="shared" si="17"/>
        <v>1260</v>
      </c>
      <c r="O145" s="4">
        <f t="shared" si="18"/>
        <v>420</v>
      </c>
      <c r="P145" s="5">
        <f t="shared" si="19"/>
        <v>0.33333333333333331</v>
      </c>
      <c r="Q145" s="3" t="str">
        <f t="shared" si="20"/>
        <v>Low_order</v>
      </c>
      <c r="R145" s="3" t="str">
        <f t="shared" si="21"/>
        <v>Middle_age</v>
      </c>
      <c r="S145" s="11" t="str">
        <f t="shared" si="22"/>
        <v>Medium_profit</v>
      </c>
      <c r="T145" s="13" t="str">
        <f t="shared" si="23"/>
        <v>Jul</v>
      </c>
    </row>
    <row r="146" spans="1:20" x14ac:dyDescent="0.3">
      <c r="A146" s="9">
        <v>45581</v>
      </c>
      <c r="B146" s="3">
        <v>3145</v>
      </c>
      <c r="C146" s="3">
        <v>1019</v>
      </c>
      <c r="D146" s="3">
        <v>2013</v>
      </c>
      <c r="E146" s="3">
        <v>6</v>
      </c>
      <c r="F146" s="3">
        <f>VLOOKUP(Sheet1!$D146,Customers!$A$1:$D$51,2,TRUE)</f>
        <v>37</v>
      </c>
      <c r="G146" s="3" t="str">
        <f>VLOOKUP(Sheet1!$D146,Customers!$A$1:$D$51,3,TRUE)</f>
        <v>Male</v>
      </c>
      <c r="H146" s="3" t="str">
        <f>VLOOKUP(Sheet1!$D146,Customers!$A$1:$D$51,4,TRUE)</f>
        <v>Hyderabad</v>
      </c>
      <c r="I146" s="3" t="str">
        <f>VLOOKUP($C146,Products!$A$1:$E$21,2,TRUE)</f>
        <v>Skipping Rope</v>
      </c>
      <c r="J146" s="3" t="str">
        <f>VLOOKUP($C146,Products!$A$1:$E$21,3,TRUE)</f>
        <v>Fitness</v>
      </c>
      <c r="K146" s="4">
        <f>VLOOKUP($C146,Products!$A$1:$E$21,4,TRUE)</f>
        <v>140</v>
      </c>
      <c r="L146" s="4">
        <f>VLOOKUP($C146,Products!$A$1:$E$21,5,TRUE)</f>
        <v>270</v>
      </c>
      <c r="M146" s="4">
        <f t="shared" si="16"/>
        <v>840</v>
      </c>
      <c r="N146" s="4">
        <f t="shared" si="17"/>
        <v>1620</v>
      </c>
      <c r="O146" s="4">
        <f t="shared" si="18"/>
        <v>780</v>
      </c>
      <c r="P146" s="5">
        <f t="shared" si="19"/>
        <v>0.48148148148148145</v>
      </c>
      <c r="Q146" s="3" t="str">
        <f t="shared" si="20"/>
        <v>Medium_order</v>
      </c>
      <c r="R146" s="3" t="str">
        <f t="shared" si="21"/>
        <v>Middle_age</v>
      </c>
      <c r="S146" s="11" t="str">
        <f t="shared" si="22"/>
        <v>High_profit</v>
      </c>
      <c r="T146" s="13" t="str">
        <f t="shared" si="23"/>
        <v>Oct</v>
      </c>
    </row>
    <row r="147" spans="1:20" x14ac:dyDescent="0.3">
      <c r="A147" s="9">
        <v>45357</v>
      </c>
      <c r="B147" s="3">
        <v>3146</v>
      </c>
      <c r="C147" s="3">
        <v>1001</v>
      </c>
      <c r="D147" s="3">
        <v>2045</v>
      </c>
      <c r="E147" s="3">
        <v>7</v>
      </c>
      <c r="F147" s="3">
        <f>VLOOKUP(Sheet1!$D147,Customers!$A$1:$D$51,2,TRUE)</f>
        <v>36</v>
      </c>
      <c r="G147" s="3" t="str">
        <f>VLOOKUP(Sheet1!$D147,Customers!$A$1:$D$51,3,TRUE)</f>
        <v>Male</v>
      </c>
      <c r="H147" s="3" t="str">
        <f>VLOOKUP(Sheet1!$D147,Customers!$A$1:$D$51,4,TRUE)</f>
        <v>Delhi</v>
      </c>
      <c r="I147" s="3" t="str">
        <f>VLOOKUP($C147,Products!$A$1:$E$21,2,TRUE)</f>
        <v>Headphones</v>
      </c>
      <c r="J147" s="3" t="str">
        <f>VLOOKUP($C147,Products!$A$1:$E$21,3,TRUE)</f>
        <v>Electronics</v>
      </c>
      <c r="K147" s="4">
        <f>VLOOKUP($C147,Products!$A$1:$E$21,4,TRUE)</f>
        <v>380</v>
      </c>
      <c r="L147" s="4">
        <f>VLOOKUP($C147,Products!$A$1:$E$21,5,TRUE)</f>
        <v>550</v>
      </c>
      <c r="M147" s="4">
        <f t="shared" si="16"/>
        <v>2660</v>
      </c>
      <c r="N147" s="4">
        <f t="shared" si="17"/>
        <v>3850</v>
      </c>
      <c r="O147" s="4">
        <f t="shared" si="18"/>
        <v>1190</v>
      </c>
      <c r="P147" s="5">
        <f t="shared" si="19"/>
        <v>0.30909090909090908</v>
      </c>
      <c r="Q147" s="3" t="str">
        <f t="shared" si="20"/>
        <v>High_order</v>
      </c>
      <c r="R147" s="3" t="str">
        <f t="shared" si="21"/>
        <v>Middle_age</v>
      </c>
      <c r="S147" s="11" t="str">
        <f t="shared" si="22"/>
        <v>Low_profit</v>
      </c>
      <c r="T147" s="13" t="str">
        <f t="shared" si="23"/>
        <v>Mar</v>
      </c>
    </row>
    <row r="148" spans="1:20" x14ac:dyDescent="0.3">
      <c r="A148" s="9">
        <v>45617</v>
      </c>
      <c r="B148" s="3">
        <v>3147</v>
      </c>
      <c r="C148" s="3">
        <v>1006</v>
      </c>
      <c r="D148" s="3">
        <v>2046</v>
      </c>
      <c r="E148" s="3">
        <v>6</v>
      </c>
      <c r="F148" s="3">
        <f>VLOOKUP(Sheet1!$D148,Customers!$A$1:$D$51,2,TRUE)</f>
        <v>52</v>
      </c>
      <c r="G148" s="3" t="str">
        <f>VLOOKUP(Sheet1!$D148,Customers!$A$1:$D$51,3,TRUE)</f>
        <v>Male</v>
      </c>
      <c r="H148" s="3" t="str">
        <f>VLOOKUP(Sheet1!$D148,Customers!$A$1:$D$51,4,TRUE)</f>
        <v>Pune</v>
      </c>
      <c r="I148" s="3" t="str">
        <f>VLOOKUP($C148,Products!$A$1:$E$21,2,TRUE)</f>
        <v>Phone Case</v>
      </c>
      <c r="J148" s="3" t="str">
        <f>VLOOKUP($C148,Products!$A$1:$E$21,3,TRUE)</f>
        <v>Accessories</v>
      </c>
      <c r="K148" s="4">
        <f>VLOOKUP($C148,Products!$A$1:$E$21,4,TRUE)</f>
        <v>320</v>
      </c>
      <c r="L148" s="4">
        <f>VLOOKUP($C148,Products!$A$1:$E$21,5,TRUE)</f>
        <v>430</v>
      </c>
      <c r="M148" s="4">
        <f t="shared" si="16"/>
        <v>1920</v>
      </c>
      <c r="N148" s="4">
        <f t="shared" si="17"/>
        <v>2580</v>
      </c>
      <c r="O148" s="4">
        <f t="shared" si="18"/>
        <v>660</v>
      </c>
      <c r="P148" s="5">
        <f t="shared" si="19"/>
        <v>0.2558139534883721</v>
      </c>
      <c r="Q148" s="3" t="str">
        <f t="shared" si="20"/>
        <v>High_order</v>
      </c>
      <c r="R148" s="3" t="str">
        <f t="shared" si="21"/>
        <v>Senior</v>
      </c>
      <c r="S148" s="11" t="str">
        <f t="shared" si="22"/>
        <v>Low_profit</v>
      </c>
      <c r="T148" s="13" t="str">
        <f t="shared" si="23"/>
        <v>Nov</v>
      </c>
    </row>
    <row r="149" spans="1:20" x14ac:dyDescent="0.3">
      <c r="A149" s="9">
        <v>45375</v>
      </c>
      <c r="B149" s="3">
        <v>3148</v>
      </c>
      <c r="C149" s="3">
        <v>1011</v>
      </c>
      <c r="D149" s="3">
        <v>2018</v>
      </c>
      <c r="E149" s="3">
        <v>1</v>
      </c>
      <c r="F149" s="3">
        <f>VLOOKUP(Sheet1!$D149,Customers!$A$1:$D$51,2,TRUE)</f>
        <v>38</v>
      </c>
      <c r="G149" s="3" t="str">
        <f>VLOOKUP(Sheet1!$D149,Customers!$A$1:$D$51,3,TRUE)</f>
        <v>Female</v>
      </c>
      <c r="H149" s="3" t="str">
        <f>VLOOKUP(Sheet1!$D149,Customers!$A$1:$D$51,4,TRUE)</f>
        <v>Pune</v>
      </c>
      <c r="I149" s="3" t="str">
        <f>VLOOKUP($C149,Products!$A$1:$E$21,2,TRUE)</f>
        <v>Notebook</v>
      </c>
      <c r="J149" s="3" t="str">
        <f>VLOOKUP($C149,Products!$A$1:$E$21,3,TRUE)</f>
        <v>Office</v>
      </c>
      <c r="K149" s="4">
        <f>VLOOKUP($C149,Products!$A$1:$E$21,4,TRUE)</f>
        <v>120</v>
      </c>
      <c r="L149" s="4">
        <f>VLOOKUP($C149,Products!$A$1:$E$21,5,TRUE)</f>
        <v>180</v>
      </c>
      <c r="M149" s="4">
        <f t="shared" si="16"/>
        <v>120</v>
      </c>
      <c r="N149" s="4">
        <f t="shared" si="17"/>
        <v>180</v>
      </c>
      <c r="O149" s="4">
        <f t="shared" si="18"/>
        <v>60</v>
      </c>
      <c r="P149" s="5">
        <f t="shared" si="19"/>
        <v>0.33333333333333331</v>
      </c>
      <c r="Q149" s="3" t="str">
        <f t="shared" si="20"/>
        <v>Low_order</v>
      </c>
      <c r="R149" s="3" t="str">
        <f t="shared" si="21"/>
        <v>Middle_age</v>
      </c>
      <c r="S149" s="11" t="str">
        <f t="shared" si="22"/>
        <v>Medium_profit</v>
      </c>
      <c r="T149" s="13" t="str">
        <f t="shared" si="23"/>
        <v>Mar</v>
      </c>
    </row>
    <row r="150" spans="1:20" x14ac:dyDescent="0.3">
      <c r="A150" s="9">
        <v>45362</v>
      </c>
      <c r="B150" s="3">
        <v>3149</v>
      </c>
      <c r="C150" s="3">
        <v>1011</v>
      </c>
      <c r="D150" s="3">
        <v>2031</v>
      </c>
      <c r="E150" s="3">
        <v>7</v>
      </c>
      <c r="F150" s="3">
        <f>VLOOKUP(Sheet1!$D150,Customers!$A$1:$D$51,2,TRUE)</f>
        <v>38</v>
      </c>
      <c r="G150" s="3" t="str">
        <f>VLOOKUP(Sheet1!$D150,Customers!$A$1:$D$51,3,TRUE)</f>
        <v>Male</v>
      </c>
      <c r="H150" s="3" t="str">
        <f>VLOOKUP(Sheet1!$D150,Customers!$A$1:$D$51,4,TRUE)</f>
        <v>Bangalore</v>
      </c>
      <c r="I150" s="3" t="str">
        <f>VLOOKUP($C150,Products!$A$1:$E$21,2,TRUE)</f>
        <v>Notebook</v>
      </c>
      <c r="J150" s="3" t="str">
        <f>VLOOKUP($C150,Products!$A$1:$E$21,3,TRUE)</f>
        <v>Office</v>
      </c>
      <c r="K150" s="4">
        <f>VLOOKUP($C150,Products!$A$1:$E$21,4,TRUE)</f>
        <v>120</v>
      </c>
      <c r="L150" s="4">
        <f>VLOOKUP($C150,Products!$A$1:$E$21,5,TRUE)</f>
        <v>180</v>
      </c>
      <c r="M150" s="4">
        <f t="shared" si="16"/>
        <v>840</v>
      </c>
      <c r="N150" s="4">
        <f t="shared" si="17"/>
        <v>1260</v>
      </c>
      <c r="O150" s="4">
        <f t="shared" si="18"/>
        <v>420</v>
      </c>
      <c r="P150" s="5">
        <f t="shared" si="19"/>
        <v>0.33333333333333331</v>
      </c>
      <c r="Q150" s="3" t="str">
        <f t="shared" si="20"/>
        <v>Low_order</v>
      </c>
      <c r="R150" s="3" t="str">
        <f t="shared" si="21"/>
        <v>Middle_age</v>
      </c>
      <c r="S150" s="11" t="str">
        <f t="shared" si="22"/>
        <v>Medium_profit</v>
      </c>
      <c r="T150" s="13" t="str">
        <f t="shared" si="23"/>
        <v>Mar</v>
      </c>
    </row>
    <row r="151" spans="1:20" x14ac:dyDescent="0.3">
      <c r="A151" s="9">
        <v>45555</v>
      </c>
      <c r="B151" s="3">
        <v>3150</v>
      </c>
      <c r="C151" s="3">
        <v>1012</v>
      </c>
      <c r="D151" s="3">
        <v>2049</v>
      </c>
      <c r="E151" s="3">
        <v>6</v>
      </c>
      <c r="F151" s="3">
        <f>VLOOKUP(Sheet1!$D151,Customers!$A$1:$D$51,2,TRUE)</f>
        <v>44</v>
      </c>
      <c r="G151" s="3" t="str">
        <f>VLOOKUP(Sheet1!$D151,Customers!$A$1:$D$51,3,TRUE)</f>
        <v>Female</v>
      </c>
      <c r="H151" s="3" t="str">
        <f>VLOOKUP(Sheet1!$D151,Customers!$A$1:$D$51,4,TRUE)</f>
        <v>Delhi</v>
      </c>
      <c r="I151" s="3" t="str">
        <f>VLOOKUP($C151,Products!$A$1:$E$21,2,TRUE)</f>
        <v>Pen Set</v>
      </c>
      <c r="J151" s="3" t="str">
        <f>VLOOKUP($C151,Products!$A$1:$E$21,3,TRUE)</f>
        <v>Office</v>
      </c>
      <c r="K151" s="4">
        <f>VLOOKUP($C151,Products!$A$1:$E$21,4,TRUE)</f>
        <v>380</v>
      </c>
      <c r="L151" s="4">
        <f>VLOOKUP($C151,Products!$A$1:$E$21,5,TRUE)</f>
        <v>510</v>
      </c>
      <c r="M151" s="4">
        <f t="shared" si="16"/>
        <v>2280</v>
      </c>
      <c r="N151" s="4">
        <f t="shared" si="17"/>
        <v>3060</v>
      </c>
      <c r="O151" s="4">
        <f t="shared" si="18"/>
        <v>780</v>
      </c>
      <c r="P151" s="5">
        <f t="shared" si="19"/>
        <v>0.25490196078431371</v>
      </c>
      <c r="Q151" s="3" t="str">
        <f t="shared" si="20"/>
        <v>High_order</v>
      </c>
      <c r="R151" s="3" t="str">
        <f t="shared" si="21"/>
        <v>Senior</v>
      </c>
      <c r="S151" s="11" t="str">
        <f t="shared" si="22"/>
        <v>Low_profit</v>
      </c>
      <c r="T151" s="13" t="str">
        <f t="shared" si="23"/>
        <v>Sep</v>
      </c>
    </row>
    <row r="152" spans="1:20" x14ac:dyDescent="0.3">
      <c r="A152" s="9">
        <v>45451</v>
      </c>
      <c r="B152" s="3">
        <v>3151</v>
      </c>
      <c r="C152" s="3">
        <v>1004</v>
      </c>
      <c r="D152" s="3">
        <v>2037</v>
      </c>
      <c r="E152" s="3">
        <v>3</v>
      </c>
      <c r="F152" s="3">
        <f>VLOOKUP(Sheet1!$D152,Customers!$A$1:$D$51,2,TRUE)</f>
        <v>38</v>
      </c>
      <c r="G152" s="3" t="str">
        <f>VLOOKUP(Sheet1!$D152,Customers!$A$1:$D$51,3,TRUE)</f>
        <v>Male</v>
      </c>
      <c r="H152" s="3" t="str">
        <f>VLOOKUP(Sheet1!$D152,Customers!$A$1:$D$51,4,TRUE)</f>
        <v>Chandigarh</v>
      </c>
      <c r="I152" s="3" t="str">
        <f>VLOOKUP($C152,Products!$A$1:$E$21,2,TRUE)</f>
        <v>Speaker</v>
      </c>
      <c r="J152" s="3" t="str">
        <f>VLOOKUP($C152,Products!$A$1:$E$21,3,TRUE)</f>
        <v>Electronics</v>
      </c>
      <c r="K152" s="4">
        <f>VLOOKUP($C152,Products!$A$1:$E$21,4,TRUE)</f>
        <v>230</v>
      </c>
      <c r="L152" s="4">
        <f>VLOOKUP($C152,Products!$A$1:$E$21,5,TRUE)</f>
        <v>440</v>
      </c>
      <c r="M152" s="4">
        <f t="shared" si="16"/>
        <v>690</v>
      </c>
      <c r="N152" s="4">
        <f t="shared" si="17"/>
        <v>1320</v>
      </c>
      <c r="O152" s="4">
        <f t="shared" si="18"/>
        <v>630</v>
      </c>
      <c r="P152" s="5">
        <f t="shared" si="19"/>
        <v>0.47727272727272729</v>
      </c>
      <c r="Q152" s="3" t="str">
        <f t="shared" si="20"/>
        <v>Medium_order</v>
      </c>
      <c r="R152" s="3" t="str">
        <f t="shared" si="21"/>
        <v>Middle_age</v>
      </c>
      <c r="S152" s="11" t="str">
        <f t="shared" si="22"/>
        <v>High_profit</v>
      </c>
      <c r="T152" s="13" t="str">
        <f t="shared" si="23"/>
        <v>Jun</v>
      </c>
    </row>
    <row r="153" spans="1:20" x14ac:dyDescent="0.3">
      <c r="A153" s="9">
        <v>45373</v>
      </c>
      <c r="B153" s="3">
        <v>3152</v>
      </c>
      <c r="C153" s="3">
        <v>1011</v>
      </c>
      <c r="D153" s="3">
        <v>2029</v>
      </c>
      <c r="E153" s="3">
        <v>6</v>
      </c>
      <c r="F153" s="3">
        <f>VLOOKUP(Sheet1!$D153,Customers!$A$1:$D$51,2,TRUE)</f>
        <v>53</v>
      </c>
      <c r="G153" s="3" t="str">
        <f>VLOOKUP(Sheet1!$D153,Customers!$A$1:$D$51,3,TRUE)</f>
        <v>Male</v>
      </c>
      <c r="H153" s="3" t="str">
        <f>VLOOKUP(Sheet1!$D153,Customers!$A$1:$D$51,4,TRUE)</f>
        <v>Delhi</v>
      </c>
      <c r="I153" s="3" t="str">
        <f>VLOOKUP($C153,Products!$A$1:$E$21,2,TRUE)</f>
        <v>Notebook</v>
      </c>
      <c r="J153" s="3" t="str">
        <f>VLOOKUP($C153,Products!$A$1:$E$21,3,TRUE)</f>
        <v>Office</v>
      </c>
      <c r="K153" s="4">
        <f>VLOOKUP($C153,Products!$A$1:$E$21,4,TRUE)</f>
        <v>120</v>
      </c>
      <c r="L153" s="4">
        <f>VLOOKUP($C153,Products!$A$1:$E$21,5,TRUE)</f>
        <v>180</v>
      </c>
      <c r="M153" s="4">
        <f t="shared" si="16"/>
        <v>720</v>
      </c>
      <c r="N153" s="4">
        <f t="shared" si="17"/>
        <v>1080</v>
      </c>
      <c r="O153" s="4">
        <f t="shared" si="18"/>
        <v>360</v>
      </c>
      <c r="P153" s="5">
        <f t="shared" si="19"/>
        <v>0.33333333333333331</v>
      </c>
      <c r="Q153" s="3" t="str">
        <f t="shared" si="20"/>
        <v>Low_order</v>
      </c>
      <c r="R153" s="3" t="str">
        <f t="shared" si="21"/>
        <v>Senior</v>
      </c>
      <c r="S153" s="11" t="str">
        <f t="shared" si="22"/>
        <v>Medium_profit</v>
      </c>
      <c r="T153" s="13" t="str">
        <f t="shared" si="23"/>
        <v>Mar</v>
      </c>
    </row>
    <row r="154" spans="1:20" x14ac:dyDescent="0.3">
      <c r="A154" s="9">
        <v>45479</v>
      </c>
      <c r="B154" s="3">
        <v>3153</v>
      </c>
      <c r="C154" s="3">
        <v>1003</v>
      </c>
      <c r="D154" s="3">
        <v>2012</v>
      </c>
      <c r="E154" s="3">
        <v>9</v>
      </c>
      <c r="F154" s="3">
        <f>VLOOKUP(Sheet1!$D154,Customers!$A$1:$D$51,2,TRUE)</f>
        <v>21</v>
      </c>
      <c r="G154" s="3" t="str">
        <f>VLOOKUP(Sheet1!$D154,Customers!$A$1:$D$51,3,TRUE)</f>
        <v>Female</v>
      </c>
      <c r="H154" s="3" t="str">
        <f>VLOOKUP(Sheet1!$D154,Customers!$A$1:$D$51,4,TRUE)</f>
        <v>Hyderabad</v>
      </c>
      <c r="I154" s="3" t="str">
        <f>VLOOKUP($C154,Products!$A$1:$E$21,2,TRUE)</f>
        <v>Mouse</v>
      </c>
      <c r="J154" s="3" t="str">
        <f>VLOOKUP($C154,Products!$A$1:$E$21,3,TRUE)</f>
        <v>Electronics</v>
      </c>
      <c r="K154" s="4">
        <f>VLOOKUP($C154,Products!$A$1:$E$21,4,TRUE)</f>
        <v>140</v>
      </c>
      <c r="L154" s="4">
        <f>VLOOKUP($C154,Products!$A$1:$E$21,5,TRUE)</f>
        <v>350</v>
      </c>
      <c r="M154" s="4">
        <f t="shared" si="16"/>
        <v>1260</v>
      </c>
      <c r="N154" s="4">
        <f t="shared" si="17"/>
        <v>3150</v>
      </c>
      <c r="O154" s="4">
        <f t="shared" si="18"/>
        <v>1890</v>
      </c>
      <c r="P154" s="5">
        <f t="shared" si="19"/>
        <v>0.6</v>
      </c>
      <c r="Q154" s="3" t="str">
        <f t="shared" si="20"/>
        <v>High_order</v>
      </c>
      <c r="R154" s="3" t="str">
        <f t="shared" si="21"/>
        <v>Young</v>
      </c>
      <c r="S154" s="11" t="str">
        <f t="shared" si="22"/>
        <v>High_profit</v>
      </c>
      <c r="T154" s="13" t="str">
        <f t="shared" si="23"/>
        <v>Jul</v>
      </c>
    </row>
    <row r="155" spans="1:20" x14ac:dyDescent="0.3">
      <c r="A155" s="9">
        <v>45585</v>
      </c>
      <c r="B155" s="3">
        <v>3154</v>
      </c>
      <c r="C155" s="3">
        <v>1001</v>
      </c>
      <c r="D155" s="3">
        <v>2020</v>
      </c>
      <c r="E155" s="3">
        <v>6</v>
      </c>
      <c r="F155" s="3">
        <f>VLOOKUP(Sheet1!$D155,Customers!$A$1:$D$51,2,TRUE)</f>
        <v>27</v>
      </c>
      <c r="G155" s="3" t="str">
        <f>VLOOKUP(Sheet1!$D155,Customers!$A$1:$D$51,3,TRUE)</f>
        <v>Male</v>
      </c>
      <c r="H155" s="3" t="str">
        <f>VLOOKUP(Sheet1!$D155,Customers!$A$1:$D$51,4,TRUE)</f>
        <v>Chandigarh</v>
      </c>
      <c r="I155" s="3" t="str">
        <f>VLOOKUP($C155,Products!$A$1:$E$21,2,TRUE)</f>
        <v>Headphones</v>
      </c>
      <c r="J155" s="3" t="str">
        <f>VLOOKUP($C155,Products!$A$1:$E$21,3,TRUE)</f>
        <v>Electronics</v>
      </c>
      <c r="K155" s="4">
        <f>VLOOKUP($C155,Products!$A$1:$E$21,4,TRUE)</f>
        <v>380</v>
      </c>
      <c r="L155" s="4">
        <f>VLOOKUP($C155,Products!$A$1:$E$21,5,TRUE)</f>
        <v>550</v>
      </c>
      <c r="M155" s="4">
        <f t="shared" si="16"/>
        <v>2280</v>
      </c>
      <c r="N155" s="4">
        <f t="shared" si="17"/>
        <v>3300</v>
      </c>
      <c r="O155" s="4">
        <f t="shared" si="18"/>
        <v>1020</v>
      </c>
      <c r="P155" s="5">
        <f t="shared" si="19"/>
        <v>0.30909090909090908</v>
      </c>
      <c r="Q155" s="3" t="str">
        <f t="shared" si="20"/>
        <v>High_order</v>
      </c>
      <c r="R155" s="3" t="str">
        <f t="shared" si="21"/>
        <v>Young</v>
      </c>
      <c r="S155" s="11" t="str">
        <f t="shared" si="22"/>
        <v>Low_profit</v>
      </c>
      <c r="T155" s="13" t="str">
        <f t="shared" si="23"/>
        <v>Oct</v>
      </c>
    </row>
    <row r="156" spans="1:20" x14ac:dyDescent="0.3">
      <c r="A156" s="9">
        <v>45400</v>
      </c>
      <c r="B156" s="3">
        <v>3155</v>
      </c>
      <c r="C156" s="3">
        <v>1005</v>
      </c>
      <c r="D156" s="3">
        <v>2034</v>
      </c>
      <c r="E156" s="3">
        <v>2</v>
      </c>
      <c r="F156" s="3">
        <f>VLOOKUP(Sheet1!$D156,Customers!$A$1:$D$51,2,TRUE)</f>
        <v>48</v>
      </c>
      <c r="G156" s="3" t="str">
        <f>VLOOKUP(Sheet1!$D156,Customers!$A$1:$D$51,3,TRUE)</f>
        <v>Female</v>
      </c>
      <c r="H156" s="3" t="str">
        <f>VLOOKUP(Sheet1!$D156,Customers!$A$1:$D$51,4,TRUE)</f>
        <v>Pune</v>
      </c>
      <c r="I156" s="3" t="str">
        <f>VLOOKUP($C156,Products!$A$1:$E$21,2,TRUE)</f>
        <v>Webcam</v>
      </c>
      <c r="J156" s="3" t="str">
        <f>VLOOKUP($C156,Products!$A$1:$E$21,3,TRUE)</f>
        <v>Electronics</v>
      </c>
      <c r="K156" s="4">
        <f>VLOOKUP($C156,Products!$A$1:$E$21,4,TRUE)</f>
        <v>340</v>
      </c>
      <c r="L156" s="4">
        <f>VLOOKUP($C156,Products!$A$1:$E$21,5,TRUE)</f>
        <v>520</v>
      </c>
      <c r="M156" s="4">
        <f t="shared" si="16"/>
        <v>680</v>
      </c>
      <c r="N156" s="4">
        <f t="shared" si="17"/>
        <v>1040</v>
      </c>
      <c r="O156" s="4">
        <f t="shared" si="18"/>
        <v>360</v>
      </c>
      <c r="P156" s="5">
        <f t="shared" si="19"/>
        <v>0.34615384615384615</v>
      </c>
      <c r="Q156" s="3" t="str">
        <f t="shared" si="20"/>
        <v>Low_order</v>
      </c>
      <c r="R156" s="3" t="str">
        <f t="shared" si="21"/>
        <v>Senior</v>
      </c>
      <c r="S156" s="11" t="str">
        <f t="shared" si="22"/>
        <v>Medium_profit</v>
      </c>
      <c r="T156" s="13" t="str">
        <f t="shared" si="23"/>
        <v>Apr</v>
      </c>
    </row>
    <row r="157" spans="1:20" x14ac:dyDescent="0.3">
      <c r="A157" s="9">
        <v>45524</v>
      </c>
      <c r="B157" s="3">
        <v>3156</v>
      </c>
      <c r="C157" s="3">
        <v>1003</v>
      </c>
      <c r="D157" s="3">
        <v>2004</v>
      </c>
      <c r="E157" s="3">
        <v>8</v>
      </c>
      <c r="F157" s="3">
        <f>VLOOKUP(Sheet1!$D157,Customers!$A$1:$D$51,2,TRUE)</f>
        <v>25</v>
      </c>
      <c r="G157" s="3" t="str">
        <f>VLOOKUP(Sheet1!$D157,Customers!$A$1:$D$51,3,TRUE)</f>
        <v>Male</v>
      </c>
      <c r="H157" s="3" t="str">
        <f>VLOOKUP(Sheet1!$D157,Customers!$A$1:$D$51,4,TRUE)</f>
        <v>Pune</v>
      </c>
      <c r="I157" s="3" t="str">
        <f>VLOOKUP($C157,Products!$A$1:$E$21,2,TRUE)</f>
        <v>Mouse</v>
      </c>
      <c r="J157" s="3" t="str">
        <f>VLOOKUP($C157,Products!$A$1:$E$21,3,TRUE)</f>
        <v>Electronics</v>
      </c>
      <c r="K157" s="4">
        <f>VLOOKUP($C157,Products!$A$1:$E$21,4,TRUE)</f>
        <v>140</v>
      </c>
      <c r="L157" s="4">
        <f>VLOOKUP($C157,Products!$A$1:$E$21,5,TRUE)</f>
        <v>350</v>
      </c>
      <c r="M157" s="4">
        <f t="shared" si="16"/>
        <v>1120</v>
      </c>
      <c r="N157" s="4">
        <f t="shared" si="17"/>
        <v>2800</v>
      </c>
      <c r="O157" s="4">
        <f t="shared" si="18"/>
        <v>1680</v>
      </c>
      <c r="P157" s="5">
        <f t="shared" si="19"/>
        <v>0.6</v>
      </c>
      <c r="Q157" s="3" t="str">
        <f t="shared" si="20"/>
        <v>High_order</v>
      </c>
      <c r="R157" s="3" t="str">
        <f t="shared" si="21"/>
        <v>Young</v>
      </c>
      <c r="S157" s="11" t="str">
        <f t="shared" si="22"/>
        <v>High_profit</v>
      </c>
      <c r="T157" s="13" t="str">
        <f t="shared" si="23"/>
        <v>Aug</v>
      </c>
    </row>
    <row r="158" spans="1:20" x14ac:dyDescent="0.3">
      <c r="A158" s="9">
        <v>45544</v>
      </c>
      <c r="B158" s="3">
        <v>3157</v>
      </c>
      <c r="C158" s="3">
        <v>1018</v>
      </c>
      <c r="D158" s="3">
        <v>2028</v>
      </c>
      <c r="E158" s="3">
        <v>2</v>
      </c>
      <c r="F158" s="3">
        <f>VLOOKUP(Sheet1!$D158,Customers!$A$1:$D$51,2,TRUE)</f>
        <v>43</v>
      </c>
      <c r="G158" s="3" t="str">
        <f>VLOOKUP(Sheet1!$D158,Customers!$A$1:$D$51,3,TRUE)</f>
        <v>Male</v>
      </c>
      <c r="H158" s="3" t="str">
        <f>VLOOKUP(Sheet1!$D158,Customers!$A$1:$D$51,4,TRUE)</f>
        <v>Mumbai</v>
      </c>
      <c r="I158" s="3" t="str">
        <f>VLOOKUP($C158,Products!$A$1:$E$21,2,TRUE)</f>
        <v>Resistance Band</v>
      </c>
      <c r="J158" s="3" t="str">
        <f>VLOOKUP($C158,Products!$A$1:$E$21,3,TRUE)</f>
        <v>Fitness</v>
      </c>
      <c r="K158" s="4">
        <f>VLOOKUP($C158,Products!$A$1:$E$21,4,TRUE)</f>
        <v>310</v>
      </c>
      <c r="L158" s="4">
        <f>VLOOKUP($C158,Products!$A$1:$E$21,5,TRUE)</f>
        <v>480</v>
      </c>
      <c r="M158" s="4">
        <f t="shared" si="16"/>
        <v>620</v>
      </c>
      <c r="N158" s="4">
        <f t="shared" si="17"/>
        <v>960</v>
      </c>
      <c r="O158" s="4">
        <f t="shared" si="18"/>
        <v>340</v>
      </c>
      <c r="P158" s="5">
        <f t="shared" si="19"/>
        <v>0.35416666666666669</v>
      </c>
      <c r="Q158" s="3" t="str">
        <f t="shared" si="20"/>
        <v>Low_order</v>
      </c>
      <c r="R158" s="3" t="str">
        <f t="shared" si="21"/>
        <v>Senior</v>
      </c>
      <c r="S158" s="11" t="str">
        <f t="shared" si="22"/>
        <v>Medium_profit</v>
      </c>
      <c r="T158" s="13" t="str">
        <f t="shared" si="23"/>
        <v>Sep</v>
      </c>
    </row>
    <row r="159" spans="1:20" x14ac:dyDescent="0.3">
      <c r="A159" s="9">
        <v>45324</v>
      </c>
      <c r="B159" s="3">
        <v>3158</v>
      </c>
      <c r="C159" s="3">
        <v>1001</v>
      </c>
      <c r="D159" s="3">
        <v>2017</v>
      </c>
      <c r="E159" s="3">
        <v>2</v>
      </c>
      <c r="F159" s="3">
        <f>VLOOKUP(Sheet1!$D159,Customers!$A$1:$D$51,2,TRUE)</f>
        <v>32</v>
      </c>
      <c r="G159" s="3" t="str">
        <f>VLOOKUP(Sheet1!$D159,Customers!$A$1:$D$51,3,TRUE)</f>
        <v>Male</v>
      </c>
      <c r="H159" s="3" t="str">
        <f>VLOOKUP(Sheet1!$D159,Customers!$A$1:$D$51,4,TRUE)</f>
        <v>Delhi</v>
      </c>
      <c r="I159" s="3" t="str">
        <f>VLOOKUP($C159,Products!$A$1:$E$21,2,TRUE)</f>
        <v>Headphones</v>
      </c>
      <c r="J159" s="3" t="str">
        <f>VLOOKUP($C159,Products!$A$1:$E$21,3,TRUE)</f>
        <v>Electronics</v>
      </c>
      <c r="K159" s="4">
        <f>VLOOKUP($C159,Products!$A$1:$E$21,4,TRUE)</f>
        <v>380</v>
      </c>
      <c r="L159" s="4">
        <f>VLOOKUP($C159,Products!$A$1:$E$21,5,TRUE)</f>
        <v>550</v>
      </c>
      <c r="M159" s="4">
        <f t="shared" si="16"/>
        <v>760</v>
      </c>
      <c r="N159" s="4">
        <f t="shared" si="17"/>
        <v>1100</v>
      </c>
      <c r="O159" s="4">
        <f t="shared" si="18"/>
        <v>340</v>
      </c>
      <c r="P159" s="5">
        <f t="shared" si="19"/>
        <v>0.30909090909090908</v>
      </c>
      <c r="Q159" s="3" t="str">
        <f t="shared" si="20"/>
        <v>Low_order</v>
      </c>
      <c r="R159" s="3" t="str">
        <f t="shared" si="21"/>
        <v>Middle_age</v>
      </c>
      <c r="S159" s="11" t="str">
        <f t="shared" si="22"/>
        <v>Low_profit</v>
      </c>
      <c r="T159" s="13" t="str">
        <f t="shared" si="23"/>
        <v>Feb</v>
      </c>
    </row>
    <row r="160" spans="1:20" x14ac:dyDescent="0.3">
      <c r="A160" s="9">
        <v>45372</v>
      </c>
      <c r="B160" s="3">
        <v>3159</v>
      </c>
      <c r="C160" s="3">
        <v>1013</v>
      </c>
      <c r="D160" s="3">
        <v>2048</v>
      </c>
      <c r="E160" s="3">
        <v>5</v>
      </c>
      <c r="F160" s="3">
        <f>VLOOKUP(Sheet1!$D160,Customers!$A$1:$D$51,2,TRUE)</f>
        <v>41</v>
      </c>
      <c r="G160" s="3" t="str">
        <f>VLOOKUP(Sheet1!$D160,Customers!$A$1:$D$51,3,TRUE)</f>
        <v>Female</v>
      </c>
      <c r="H160" s="3" t="str">
        <f>VLOOKUP(Sheet1!$D160,Customers!$A$1:$D$51,4,TRUE)</f>
        <v>Mumbai</v>
      </c>
      <c r="I160" s="3" t="str">
        <f>VLOOKUP($C160,Products!$A$1:$E$21,2,TRUE)</f>
        <v>Desk Lamp</v>
      </c>
      <c r="J160" s="3" t="str">
        <f>VLOOKUP($C160,Products!$A$1:$E$21,3,TRUE)</f>
        <v>Office</v>
      </c>
      <c r="K160" s="4">
        <f>VLOOKUP($C160,Products!$A$1:$E$21,4,TRUE)</f>
        <v>140</v>
      </c>
      <c r="L160" s="4">
        <f>VLOOKUP($C160,Products!$A$1:$E$21,5,TRUE)</f>
        <v>390</v>
      </c>
      <c r="M160" s="4">
        <f t="shared" si="16"/>
        <v>700</v>
      </c>
      <c r="N160" s="4">
        <f t="shared" si="17"/>
        <v>1950</v>
      </c>
      <c r="O160" s="4">
        <f t="shared" si="18"/>
        <v>1250</v>
      </c>
      <c r="P160" s="5">
        <f t="shared" si="19"/>
        <v>0.64102564102564108</v>
      </c>
      <c r="Q160" s="3" t="str">
        <f t="shared" si="20"/>
        <v>Medium_order</v>
      </c>
      <c r="R160" s="3" t="str">
        <f t="shared" si="21"/>
        <v>Senior</v>
      </c>
      <c r="S160" s="11" t="str">
        <f t="shared" si="22"/>
        <v>High_profit</v>
      </c>
      <c r="T160" s="13" t="str">
        <f t="shared" si="23"/>
        <v>Mar</v>
      </c>
    </row>
    <row r="161" spans="1:20" x14ac:dyDescent="0.3">
      <c r="A161" s="9">
        <v>45451</v>
      </c>
      <c r="B161" s="3">
        <v>3160</v>
      </c>
      <c r="C161" s="3">
        <v>1003</v>
      </c>
      <c r="D161" s="3">
        <v>2008</v>
      </c>
      <c r="E161" s="3">
        <v>7</v>
      </c>
      <c r="F161" s="3">
        <f>VLOOKUP(Sheet1!$D161,Customers!$A$1:$D$51,2,TRUE)</f>
        <v>36</v>
      </c>
      <c r="G161" s="3" t="str">
        <f>VLOOKUP(Sheet1!$D161,Customers!$A$1:$D$51,3,TRUE)</f>
        <v>Male</v>
      </c>
      <c r="H161" s="3" t="str">
        <f>VLOOKUP(Sheet1!$D161,Customers!$A$1:$D$51,4,TRUE)</f>
        <v>Mumbai</v>
      </c>
      <c r="I161" s="3" t="str">
        <f>VLOOKUP($C161,Products!$A$1:$E$21,2,TRUE)</f>
        <v>Mouse</v>
      </c>
      <c r="J161" s="3" t="str">
        <f>VLOOKUP($C161,Products!$A$1:$E$21,3,TRUE)</f>
        <v>Electronics</v>
      </c>
      <c r="K161" s="4">
        <f>VLOOKUP($C161,Products!$A$1:$E$21,4,TRUE)</f>
        <v>140</v>
      </c>
      <c r="L161" s="4">
        <f>VLOOKUP($C161,Products!$A$1:$E$21,5,TRUE)</f>
        <v>350</v>
      </c>
      <c r="M161" s="4">
        <f t="shared" si="16"/>
        <v>980</v>
      </c>
      <c r="N161" s="4">
        <f t="shared" si="17"/>
        <v>2450</v>
      </c>
      <c r="O161" s="4">
        <f t="shared" si="18"/>
        <v>1470</v>
      </c>
      <c r="P161" s="5">
        <f t="shared" si="19"/>
        <v>0.6</v>
      </c>
      <c r="Q161" s="3" t="str">
        <f t="shared" si="20"/>
        <v>High_order</v>
      </c>
      <c r="R161" s="3" t="str">
        <f t="shared" si="21"/>
        <v>Middle_age</v>
      </c>
      <c r="S161" s="11" t="str">
        <f t="shared" si="22"/>
        <v>High_profit</v>
      </c>
      <c r="T161" s="13" t="str">
        <f t="shared" si="23"/>
        <v>Jun</v>
      </c>
    </row>
    <row r="162" spans="1:20" x14ac:dyDescent="0.3">
      <c r="A162" s="9">
        <v>45493</v>
      </c>
      <c r="B162" s="3">
        <v>3161</v>
      </c>
      <c r="C162" s="3">
        <v>1020</v>
      </c>
      <c r="D162" s="3">
        <v>2044</v>
      </c>
      <c r="E162" s="3">
        <v>10</v>
      </c>
      <c r="F162" s="3">
        <f>VLOOKUP(Sheet1!$D162,Customers!$A$1:$D$51,2,TRUE)</f>
        <v>44</v>
      </c>
      <c r="G162" s="3" t="str">
        <f>VLOOKUP(Sheet1!$D162,Customers!$A$1:$D$51,3,TRUE)</f>
        <v>Female</v>
      </c>
      <c r="H162" s="3" t="str">
        <f>VLOOKUP(Sheet1!$D162,Customers!$A$1:$D$51,4,TRUE)</f>
        <v>Mumbai</v>
      </c>
      <c r="I162" s="3" t="str">
        <f>VLOOKUP($C162,Products!$A$1:$E$21,2,TRUE)</f>
        <v>Water Bottle</v>
      </c>
      <c r="J162" s="3" t="str">
        <f>VLOOKUP($C162,Products!$A$1:$E$21,3,TRUE)</f>
        <v>Fitness</v>
      </c>
      <c r="K162" s="4">
        <f>VLOOKUP($C162,Products!$A$1:$E$21,4,TRUE)</f>
        <v>400</v>
      </c>
      <c r="L162" s="4">
        <f>VLOOKUP($C162,Products!$A$1:$E$21,5,TRUE)</f>
        <v>560</v>
      </c>
      <c r="M162" s="4">
        <f t="shared" si="16"/>
        <v>4000</v>
      </c>
      <c r="N162" s="4">
        <f t="shared" si="17"/>
        <v>5600</v>
      </c>
      <c r="O162" s="4">
        <f t="shared" si="18"/>
        <v>1600</v>
      </c>
      <c r="P162" s="5">
        <f t="shared" si="19"/>
        <v>0.2857142857142857</v>
      </c>
      <c r="Q162" s="3" t="str">
        <f t="shared" si="20"/>
        <v>High_order</v>
      </c>
      <c r="R162" s="3" t="str">
        <f t="shared" si="21"/>
        <v>Senior</v>
      </c>
      <c r="S162" s="11" t="str">
        <f t="shared" si="22"/>
        <v>Low_profit</v>
      </c>
      <c r="T162" s="13" t="str">
        <f t="shared" si="23"/>
        <v>Jul</v>
      </c>
    </row>
    <row r="163" spans="1:20" x14ac:dyDescent="0.3">
      <c r="A163" s="9">
        <v>45310</v>
      </c>
      <c r="B163" s="3">
        <v>3162</v>
      </c>
      <c r="C163" s="3">
        <v>1005</v>
      </c>
      <c r="D163" s="3">
        <v>2014</v>
      </c>
      <c r="E163" s="3">
        <v>5</v>
      </c>
      <c r="F163" s="3">
        <f>VLOOKUP(Sheet1!$D163,Customers!$A$1:$D$51,2,TRUE)</f>
        <v>58</v>
      </c>
      <c r="G163" s="3" t="str">
        <f>VLOOKUP(Sheet1!$D163,Customers!$A$1:$D$51,3,TRUE)</f>
        <v>Female</v>
      </c>
      <c r="H163" s="3" t="str">
        <f>VLOOKUP(Sheet1!$D163,Customers!$A$1:$D$51,4,TRUE)</f>
        <v>Chandigarh</v>
      </c>
      <c r="I163" s="3" t="str">
        <f>VLOOKUP($C163,Products!$A$1:$E$21,2,TRUE)</f>
        <v>Webcam</v>
      </c>
      <c r="J163" s="3" t="str">
        <f>VLOOKUP($C163,Products!$A$1:$E$21,3,TRUE)</f>
        <v>Electronics</v>
      </c>
      <c r="K163" s="4">
        <f>VLOOKUP($C163,Products!$A$1:$E$21,4,TRUE)</f>
        <v>340</v>
      </c>
      <c r="L163" s="4">
        <f>VLOOKUP($C163,Products!$A$1:$E$21,5,TRUE)</f>
        <v>520</v>
      </c>
      <c r="M163" s="4">
        <f t="shared" si="16"/>
        <v>1700</v>
      </c>
      <c r="N163" s="4">
        <f t="shared" si="17"/>
        <v>2600</v>
      </c>
      <c r="O163" s="4">
        <f t="shared" si="18"/>
        <v>900</v>
      </c>
      <c r="P163" s="5">
        <f t="shared" si="19"/>
        <v>0.34615384615384615</v>
      </c>
      <c r="Q163" s="3" t="str">
        <f t="shared" si="20"/>
        <v>High_order</v>
      </c>
      <c r="R163" s="3" t="str">
        <f t="shared" si="21"/>
        <v>Senior</v>
      </c>
      <c r="S163" s="11" t="str">
        <f t="shared" si="22"/>
        <v>Medium_profit</v>
      </c>
      <c r="T163" s="13" t="str">
        <f t="shared" si="23"/>
        <v>Jan</v>
      </c>
    </row>
    <row r="164" spans="1:20" x14ac:dyDescent="0.3">
      <c r="A164" s="9">
        <v>45549</v>
      </c>
      <c r="B164" s="3">
        <v>3163</v>
      </c>
      <c r="C164" s="3">
        <v>1005</v>
      </c>
      <c r="D164" s="3">
        <v>2022</v>
      </c>
      <c r="E164" s="3">
        <v>10</v>
      </c>
      <c r="F164" s="3">
        <f>VLOOKUP(Sheet1!$D164,Customers!$A$1:$D$51,2,TRUE)</f>
        <v>19</v>
      </c>
      <c r="G164" s="3" t="str">
        <f>VLOOKUP(Sheet1!$D164,Customers!$A$1:$D$51,3,TRUE)</f>
        <v>Male</v>
      </c>
      <c r="H164" s="3" t="str">
        <f>VLOOKUP(Sheet1!$D164,Customers!$A$1:$D$51,4,TRUE)</f>
        <v>Pune</v>
      </c>
      <c r="I164" s="3" t="str">
        <f>VLOOKUP($C164,Products!$A$1:$E$21,2,TRUE)</f>
        <v>Webcam</v>
      </c>
      <c r="J164" s="3" t="str">
        <f>VLOOKUP($C164,Products!$A$1:$E$21,3,TRUE)</f>
        <v>Electronics</v>
      </c>
      <c r="K164" s="4">
        <f>VLOOKUP($C164,Products!$A$1:$E$21,4,TRUE)</f>
        <v>340</v>
      </c>
      <c r="L164" s="4">
        <f>VLOOKUP($C164,Products!$A$1:$E$21,5,TRUE)</f>
        <v>520</v>
      </c>
      <c r="M164" s="4">
        <f t="shared" si="16"/>
        <v>3400</v>
      </c>
      <c r="N164" s="4">
        <f t="shared" si="17"/>
        <v>5200</v>
      </c>
      <c r="O164" s="4">
        <f t="shared" si="18"/>
        <v>1800</v>
      </c>
      <c r="P164" s="5">
        <f t="shared" si="19"/>
        <v>0.34615384615384615</v>
      </c>
      <c r="Q164" s="3" t="str">
        <f t="shared" si="20"/>
        <v>High_order</v>
      </c>
      <c r="R164" s="3" t="str">
        <f t="shared" si="21"/>
        <v>Young</v>
      </c>
      <c r="S164" s="11" t="str">
        <f t="shared" si="22"/>
        <v>Medium_profit</v>
      </c>
      <c r="T164" s="13" t="str">
        <f t="shared" si="23"/>
        <v>Sep</v>
      </c>
    </row>
    <row r="165" spans="1:20" x14ac:dyDescent="0.3">
      <c r="A165" s="9">
        <v>45527</v>
      </c>
      <c r="B165" s="3">
        <v>3164</v>
      </c>
      <c r="C165" s="3">
        <v>1014</v>
      </c>
      <c r="D165" s="3">
        <v>2002</v>
      </c>
      <c r="E165" s="3">
        <v>5</v>
      </c>
      <c r="F165" s="3">
        <f>VLOOKUP(Sheet1!$D165,Customers!$A$1:$D$51,2,TRUE)</f>
        <v>33</v>
      </c>
      <c r="G165" s="3" t="str">
        <f>VLOOKUP(Sheet1!$D165,Customers!$A$1:$D$51,3,TRUE)</f>
        <v>Male</v>
      </c>
      <c r="H165" s="3" t="str">
        <f>VLOOKUP(Sheet1!$D165,Customers!$A$1:$D$51,4,TRUE)</f>
        <v>Delhi</v>
      </c>
      <c r="I165" s="3" t="str">
        <f>VLOOKUP($C165,Products!$A$1:$E$21,2,TRUE)</f>
        <v>Stapler</v>
      </c>
      <c r="J165" s="3" t="str">
        <f>VLOOKUP($C165,Products!$A$1:$E$21,3,TRUE)</f>
        <v>Office</v>
      </c>
      <c r="K165" s="4">
        <f>VLOOKUP($C165,Products!$A$1:$E$21,4,TRUE)</f>
        <v>170</v>
      </c>
      <c r="L165" s="4">
        <f>VLOOKUP($C165,Products!$A$1:$E$21,5,TRUE)</f>
        <v>280</v>
      </c>
      <c r="M165" s="4">
        <f t="shared" si="16"/>
        <v>850</v>
      </c>
      <c r="N165" s="4">
        <f t="shared" si="17"/>
        <v>1400</v>
      </c>
      <c r="O165" s="4">
        <f t="shared" si="18"/>
        <v>550</v>
      </c>
      <c r="P165" s="5">
        <f t="shared" si="19"/>
        <v>0.39285714285714285</v>
      </c>
      <c r="Q165" s="3" t="str">
        <f t="shared" si="20"/>
        <v>Medium_order</v>
      </c>
      <c r="R165" s="3" t="str">
        <f t="shared" si="21"/>
        <v>Middle_age</v>
      </c>
      <c r="S165" s="11" t="str">
        <f t="shared" si="22"/>
        <v>Medium_profit</v>
      </c>
      <c r="T165" s="13" t="str">
        <f t="shared" si="23"/>
        <v>Aug</v>
      </c>
    </row>
    <row r="166" spans="1:20" x14ac:dyDescent="0.3">
      <c r="A166" s="9">
        <v>45515</v>
      </c>
      <c r="B166" s="3">
        <v>3165</v>
      </c>
      <c r="C166" s="3">
        <v>1015</v>
      </c>
      <c r="D166" s="3">
        <v>2028</v>
      </c>
      <c r="E166" s="3">
        <v>4</v>
      </c>
      <c r="F166" s="3">
        <f>VLOOKUP(Sheet1!$D166,Customers!$A$1:$D$51,2,TRUE)</f>
        <v>43</v>
      </c>
      <c r="G166" s="3" t="str">
        <f>VLOOKUP(Sheet1!$D166,Customers!$A$1:$D$51,3,TRUE)</f>
        <v>Male</v>
      </c>
      <c r="H166" s="3" t="str">
        <f>VLOOKUP(Sheet1!$D166,Customers!$A$1:$D$51,4,TRUE)</f>
        <v>Mumbai</v>
      </c>
      <c r="I166" s="3" t="str">
        <f>VLOOKUP($C166,Products!$A$1:$E$21,2,TRUE)</f>
        <v>Organizer</v>
      </c>
      <c r="J166" s="3" t="str">
        <f>VLOOKUP($C166,Products!$A$1:$E$21,3,TRUE)</f>
        <v>Office</v>
      </c>
      <c r="K166" s="4">
        <f>VLOOKUP($C166,Products!$A$1:$E$21,4,TRUE)</f>
        <v>70</v>
      </c>
      <c r="L166" s="4">
        <f>VLOOKUP($C166,Products!$A$1:$E$21,5,TRUE)</f>
        <v>210</v>
      </c>
      <c r="M166" s="4">
        <f t="shared" si="16"/>
        <v>280</v>
      </c>
      <c r="N166" s="4">
        <f t="shared" si="17"/>
        <v>840</v>
      </c>
      <c r="O166" s="4">
        <f t="shared" si="18"/>
        <v>560</v>
      </c>
      <c r="P166" s="5">
        <f t="shared" si="19"/>
        <v>0.66666666666666663</v>
      </c>
      <c r="Q166" s="3" t="str">
        <f t="shared" si="20"/>
        <v>Low_order</v>
      </c>
      <c r="R166" s="3" t="str">
        <f t="shared" si="21"/>
        <v>Senior</v>
      </c>
      <c r="S166" s="11" t="str">
        <f t="shared" si="22"/>
        <v>High_profit</v>
      </c>
      <c r="T166" s="13" t="str">
        <f t="shared" si="23"/>
        <v>Aug</v>
      </c>
    </row>
    <row r="167" spans="1:20" x14ac:dyDescent="0.3">
      <c r="A167" s="9">
        <v>45475</v>
      </c>
      <c r="B167" s="3">
        <v>3166</v>
      </c>
      <c r="C167" s="3">
        <v>1014</v>
      </c>
      <c r="D167" s="3">
        <v>2040</v>
      </c>
      <c r="E167" s="3">
        <v>3</v>
      </c>
      <c r="F167" s="3">
        <f>VLOOKUP(Sheet1!$D167,Customers!$A$1:$D$51,2,TRUE)</f>
        <v>40</v>
      </c>
      <c r="G167" s="3" t="str">
        <f>VLOOKUP(Sheet1!$D167,Customers!$A$1:$D$51,3,TRUE)</f>
        <v>Male</v>
      </c>
      <c r="H167" s="3" t="str">
        <f>VLOOKUP(Sheet1!$D167,Customers!$A$1:$D$51,4,TRUE)</f>
        <v>Hyderabad</v>
      </c>
      <c r="I167" s="3" t="str">
        <f>VLOOKUP($C167,Products!$A$1:$E$21,2,TRUE)</f>
        <v>Stapler</v>
      </c>
      <c r="J167" s="3" t="str">
        <f>VLOOKUP($C167,Products!$A$1:$E$21,3,TRUE)</f>
        <v>Office</v>
      </c>
      <c r="K167" s="4">
        <f>VLOOKUP($C167,Products!$A$1:$E$21,4,TRUE)</f>
        <v>170</v>
      </c>
      <c r="L167" s="4">
        <f>VLOOKUP($C167,Products!$A$1:$E$21,5,TRUE)</f>
        <v>280</v>
      </c>
      <c r="M167" s="4">
        <f t="shared" si="16"/>
        <v>510</v>
      </c>
      <c r="N167" s="4">
        <f t="shared" si="17"/>
        <v>840</v>
      </c>
      <c r="O167" s="4">
        <f t="shared" si="18"/>
        <v>330</v>
      </c>
      <c r="P167" s="5">
        <f t="shared" si="19"/>
        <v>0.39285714285714285</v>
      </c>
      <c r="Q167" s="3" t="str">
        <f t="shared" si="20"/>
        <v>Low_order</v>
      </c>
      <c r="R167" s="3" t="str">
        <f t="shared" si="21"/>
        <v>Middle_age</v>
      </c>
      <c r="S167" s="11" t="str">
        <f t="shared" si="22"/>
        <v>Medium_profit</v>
      </c>
      <c r="T167" s="13" t="str">
        <f t="shared" si="23"/>
        <v>Jul</v>
      </c>
    </row>
    <row r="168" spans="1:20" x14ac:dyDescent="0.3">
      <c r="A168" s="9">
        <v>45587</v>
      </c>
      <c r="B168" s="3">
        <v>3167</v>
      </c>
      <c r="C168" s="3">
        <v>1004</v>
      </c>
      <c r="D168" s="3">
        <v>2025</v>
      </c>
      <c r="E168" s="3">
        <v>8</v>
      </c>
      <c r="F168" s="3">
        <f>VLOOKUP(Sheet1!$D168,Customers!$A$1:$D$51,2,TRUE)</f>
        <v>34</v>
      </c>
      <c r="G168" s="3" t="str">
        <f>VLOOKUP(Sheet1!$D168,Customers!$A$1:$D$51,3,TRUE)</f>
        <v>Male</v>
      </c>
      <c r="H168" s="3" t="str">
        <f>VLOOKUP(Sheet1!$D168,Customers!$A$1:$D$51,4,TRUE)</f>
        <v>Delhi</v>
      </c>
      <c r="I168" s="3" t="str">
        <f>VLOOKUP($C168,Products!$A$1:$E$21,2,TRUE)</f>
        <v>Speaker</v>
      </c>
      <c r="J168" s="3" t="str">
        <f>VLOOKUP($C168,Products!$A$1:$E$21,3,TRUE)</f>
        <v>Electronics</v>
      </c>
      <c r="K168" s="4">
        <f>VLOOKUP($C168,Products!$A$1:$E$21,4,TRUE)</f>
        <v>230</v>
      </c>
      <c r="L168" s="4">
        <f>VLOOKUP($C168,Products!$A$1:$E$21,5,TRUE)</f>
        <v>440</v>
      </c>
      <c r="M168" s="4">
        <f t="shared" si="16"/>
        <v>1840</v>
      </c>
      <c r="N168" s="4">
        <f t="shared" si="17"/>
        <v>3520</v>
      </c>
      <c r="O168" s="4">
        <f t="shared" si="18"/>
        <v>1680</v>
      </c>
      <c r="P168" s="5">
        <f t="shared" si="19"/>
        <v>0.47727272727272729</v>
      </c>
      <c r="Q168" s="3" t="str">
        <f t="shared" si="20"/>
        <v>High_order</v>
      </c>
      <c r="R168" s="3" t="str">
        <f t="shared" si="21"/>
        <v>Middle_age</v>
      </c>
      <c r="S168" s="11" t="str">
        <f t="shared" si="22"/>
        <v>High_profit</v>
      </c>
      <c r="T168" s="13" t="str">
        <f t="shared" si="23"/>
        <v>Oct</v>
      </c>
    </row>
    <row r="169" spans="1:20" x14ac:dyDescent="0.3">
      <c r="A169" s="9">
        <v>45644</v>
      </c>
      <c r="B169" s="3">
        <v>3168</v>
      </c>
      <c r="C169" s="3">
        <v>1016</v>
      </c>
      <c r="D169" s="3">
        <v>2047</v>
      </c>
      <c r="E169" s="3">
        <v>6</v>
      </c>
      <c r="F169" s="3">
        <f>VLOOKUP(Sheet1!$D169,Customers!$A$1:$D$51,2,TRUE)</f>
        <v>28</v>
      </c>
      <c r="G169" s="3" t="str">
        <f>VLOOKUP(Sheet1!$D169,Customers!$A$1:$D$51,3,TRUE)</f>
        <v>Male</v>
      </c>
      <c r="H169" s="3" t="str">
        <f>VLOOKUP(Sheet1!$D169,Customers!$A$1:$D$51,4,TRUE)</f>
        <v>Chandigarh</v>
      </c>
      <c r="I169" s="3" t="str">
        <f>VLOOKUP($C169,Products!$A$1:$E$21,2,TRUE)</f>
        <v>Yoga Mat</v>
      </c>
      <c r="J169" s="3" t="str">
        <f>VLOOKUP($C169,Products!$A$1:$E$21,3,TRUE)</f>
        <v>Fitness</v>
      </c>
      <c r="K169" s="4">
        <f>VLOOKUP($C169,Products!$A$1:$E$21,4,TRUE)</f>
        <v>330</v>
      </c>
      <c r="L169" s="4">
        <f>VLOOKUP($C169,Products!$A$1:$E$21,5,TRUE)</f>
        <v>490</v>
      </c>
      <c r="M169" s="4">
        <f t="shared" si="16"/>
        <v>1980</v>
      </c>
      <c r="N169" s="4">
        <f t="shared" si="17"/>
        <v>2940</v>
      </c>
      <c r="O169" s="4">
        <f t="shared" si="18"/>
        <v>960</v>
      </c>
      <c r="P169" s="5">
        <f t="shared" si="19"/>
        <v>0.32653061224489793</v>
      </c>
      <c r="Q169" s="3" t="str">
        <f t="shared" si="20"/>
        <v>High_order</v>
      </c>
      <c r="R169" s="3" t="str">
        <f t="shared" si="21"/>
        <v>Young</v>
      </c>
      <c r="S169" s="11" t="str">
        <f t="shared" si="22"/>
        <v>Medium_profit</v>
      </c>
      <c r="T169" s="13" t="str">
        <f t="shared" si="23"/>
        <v>Dec</v>
      </c>
    </row>
    <row r="170" spans="1:20" x14ac:dyDescent="0.3">
      <c r="A170" s="9">
        <v>45402</v>
      </c>
      <c r="B170" s="3">
        <v>3169</v>
      </c>
      <c r="C170" s="3">
        <v>1016</v>
      </c>
      <c r="D170" s="3">
        <v>2041</v>
      </c>
      <c r="E170" s="3">
        <v>3</v>
      </c>
      <c r="F170" s="3">
        <f>VLOOKUP(Sheet1!$D170,Customers!$A$1:$D$51,2,TRUE)</f>
        <v>28</v>
      </c>
      <c r="G170" s="3" t="str">
        <f>VLOOKUP(Sheet1!$D170,Customers!$A$1:$D$51,3,TRUE)</f>
        <v>Male</v>
      </c>
      <c r="H170" s="3" t="str">
        <f>VLOOKUP(Sheet1!$D170,Customers!$A$1:$D$51,4,TRUE)</f>
        <v>Pune</v>
      </c>
      <c r="I170" s="3" t="str">
        <f>VLOOKUP($C170,Products!$A$1:$E$21,2,TRUE)</f>
        <v>Yoga Mat</v>
      </c>
      <c r="J170" s="3" t="str">
        <f>VLOOKUP($C170,Products!$A$1:$E$21,3,TRUE)</f>
        <v>Fitness</v>
      </c>
      <c r="K170" s="4">
        <f>VLOOKUP($C170,Products!$A$1:$E$21,4,TRUE)</f>
        <v>330</v>
      </c>
      <c r="L170" s="4">
        <f>VLOOKUP($C170,Products!$A$1:$E$21,5,TRUE)</f>
        <v>490</v>
      </c>
      <c r="M170" s="4">
        <f t="shared" si="16"/>
        <v>990</v>
      </c>
      <c r="N170" s="4">
        <f t="shared" si="17"/>
        <v>1470</v>
      </c>
      <c r="O170" s="4">
        <f t="shared" si="18"/>
        <v>480</v>
      </c>
      <c r="P170" s="5">
        <f t="shared" si="19"/>
        <v>0.32653061224489793</v>
      </c>
      <c r="Q170" s="3" t="str">
        <f t="shared" si="20"/>
        <v>Medium_order</v>
      </c>
      <c r="R170" s="3" t="str">
        <f t="shared" si="21"/>
        <v>Young</v>
      </c>
      <c r="S170" s="11" t="str">
        <f t="shared" si="22"/>
        <v>Medium_profit</v>
      </c>
      <c r="T170" s="13" t="str">
        <f t="shared" si="23"/>
        <v>Apr</v>
      </c>
    </row>
    <row r="171" spans="1:20" x14ac:dyDescent="0.3">
      <c r="A171" s="9">
        <v>45645</v>
      </c>
      <c r="B171" s="3">
        <v>3170</v>
      </c>
      <c r="C171" s="3">
        <v>1007</v>
      </c>
      <c r="D171" s="3">
        <v>2021</v>
      </c>
      <c r="E171" s="3">
        <v>6</v>
      </c>
      <c r="F171" s="3">
        <f>VLOOKUP(Sheet1!$D171,Customers!$A$1:$D$51,2,TRUE)</f>
        <v>28</v>
      </c>
      <c r="G171" s="3" t="str">
        <f>VLOOKUP(Sheet1!$D171,Customers!$A$1:$D$51,3,TRUE)</f>
        <v>Male</v>
      </c>
      <c r="H171" s="3" t="str">
        <f>VLOOKUP(Sheet1!$D171,Customers!$A$1:$D$51,4,TRUE)</f>
        <v>Delhi</v>
      </c>
      <c r="I171" s="3" t="str">
        <f>VLOOKUP($C171,Products!$A$1:$E$21,2,TRUE)</f>
        <v>Charger</v>
      </c>
      <c r="J171" s="3" t="str">
        <f>VLOOKUP($C171,Products!$A$1:$E$21,3,TRUE)</f>
        <v>Accessories</v>
      </c>
      <c r="K171" s="4">
        <f>VLOOKUP($C171,Products!$A$1:$E$21,4,TRUE)</f>
        <v>160</v>
      </c>
      <c r="L171" s="4">
        <f>VLOOKUP($C171,Products!$A$1:$E$21,5,TRUE)</f>
        <v>230</v>
      </c>
      <c r="M171" s="4">
        <f t="shared" si="16"/>
        <v>960</v>
      </c>
      <c r="N171" s="4">
        <f t="shared" si="17"/>
        <v>1380</v>
      </c>
      <c r="O171" s="4">
        <f t="shared" si="18"/>
        <v>420</v>
      </c>
      <c r="P171" s="5">
        <f t="shared" si="19"/>
        <v>0.30434782608695654</v>
      </c>
      <c r="Q171" s="3" t="str">
        <f t="shared" si="20"/>
        <v>Medium_order</v>
      </c>
      <c r="R171" s="3" t="str">
        <f t="shared" si="21"/>
        <v>Young</v>
      </c>
      <c r="S171" s="11" t="str">
        <f t="shared" si="22"/>
        <v>Low_profit</v>
      </c>
      <c r="T171" s="13" t="str">
        <f t="shared" si="23"/>
        <v>Dec</v>
      </c>
    </row>
    <row r="172" spans="1:20" x14ac:dyDescent="0.3">
      <c r="A172" s="9">
        <v>45438</v>
      </c>
      <c r="B172" s="3">
        <v>3171</v>
      </c>
      <c r="C172" s="3">
        <v>1011</v>
      </c>
      <c r="D172" s="3">
        <v>2005</v>
      </c>
      <c r="E172" s="3">
        <v>2</v>
      </c>
      <c r="F172" s="3">
        <f>VLOOKUP(Sheet1!$D172,Customers!$A$1:$D$51,2,TRUE)</f>
        <v>56</v>
      </c>
      <c r="G172" s="3" t="str">
        <f>VLOOKUP(Sheet1!$D172,Customers!$A$1:$D$51,3,TRUE)</f>
        <v>Female</v>
      </c>
      <c r="H172" s="3" t="str">
        <f>VLOOKUP(Sheet1!$D172,Customers!$A$1:$D$51,4,TRUE)</f>
        <v>Hyderabad</v>
      </c>
      <c r="I172" s="3" t="str">
        <f>VLOOKUP($C172,Products!$A$1:$E$21,2,TRUE)</f>
        <v>Notebook</v>
      </c>
      <c r="J172" s="3" t="str">
        <f>VLOOKUP($C172,Products!$A$1:$E$21,3,TRUE)</f>
        <v>Office</v>
      </c>
      <c r="K172" s="4">
        <f>VLOOKUP($C172,Products!$A$1:$E$21,4,TRUE)</f>
        <v>120</v>
      </c>
      <c r="L172" s="4">
        <f>VLOOKUP($C172,Products!$A$1:$E$21,5,TRUE)</f>
        <v>180</v>
      </c>
      <c r="M172" s="4">
        <f t="shared" si="16"/>
        <v>240</v>
      </c>
      <c r="N172" s="4">
        <f t="shared" si="17"/>
        <v>360</v>
      </c>
      <c r="O172" s="4">
        <f t="shared" si="18"/>
        <v>120</v>
      </c>
      <c r="P172" s="5">
        <f t="shared" si="19"/>
        <v>0.33333333333333331</v>
      </c>
      <c r="Q172" s="3" t="str">
        <f t="shared" si="20"/>
        <v>Low_order</v>
      </c>
      <c r="R172" s="3" t="str">
        <f t="shared" si="21"/>
        <v>Senior</v>
      </c>
      <c r="S172" s="11" t="str">
        <f t="shared" si="22"/>
        <v>Medium_profit</v>
      </c>
      <c r="T172" s="13" t="str">
        <f t="shared" si="23"/>
        <v>May</v>
      </c>
    </row>
    <row r="173" spans="1:20" x14ac:dyDescent="0.3">
      <c r="A173" s="9">
        <v>45521</v>
      </c>
      <c r="B173" s="3">
        <v>3172</v>
      </c>
      <c r="C173" s="3">
        <v>1019</v>
      </c>
      <c r="D173" s="3">
        <v>2034</v>
      </c>
      <c r="E173" s="3">
        <v>9</v>
      </c>
      <c r="F173" s="3">
        <f>VLOOKUP(Sheet1!$D173,Customers!$A$1:$D$51,2,TRUE)</f>
        <v>48</v>
      </c>
      <c r="G173" s="3" t="str">
        <f>VLOOKUP(Sheet1!$D173,Customers!$A$1:$D$51,3,TRUE)</f>
        <v>Female</v>
      </c>
      <c r="H173" s="3" t="str">
        <f>VLOOKUP(Sheet1!$D173,Customers!$A$1:$D$51,4,TRUE)</f>
        <v>Pune</v>
      </c>
      <c r="I173" s="3" t="str">
        <f>VLOOKUP($C173,Products!$A$1:$E$21,2,TRUE)</f>
        <v>Skipping Rope</v>
      </c>
      <c r="J173" s="3" t="str">
        <f>VLOOKUP($C173,Products!$A$1:$E$21,3,TRUE)</f>
        <v>Fitness</v>
      </c>
      <c r="K173" s="4">
        <f>VLOOKUP($C173,Products!$A$1:$E$21,4,TRUE)</f>
        <v>140</v>
      </c>
      <c r="L173" s="4">
        <f>VLOOKUP($C173,Products!$A$1:$E$21,5,TRUE)</f>
        <v>270</v>
      </c>
      <c r="M173" s="4">
        <f t="shared" si="16"/>
        <v>1260</v>
      </c>
      <c r="N173" s="4">
        <f t="shared" si="17"/>
        <v>2430</v>
      </c>
      <c r="O173" s="4">
        <f t="shared" si="18"/>
        <v>1170</v>
      </c>
      <c r="P173" s="5">
        <f t="shared" si="19"/>
        <v>0.48148148148148145</v>
      </c>
      <c r="Q173" s="3" t="str">
        <f t="shared" si="20"/>
        <v>High_order</v>
      </c>
      <c r="R173" s="3" t="str">
        <f t="shared" si="21"/>
        <v>Senior</v>
      </c>
      <c r="S173" s="11" t="str">
        <f t="shared" si="22"/>
        <v>High_profit</v>
      </c>
      <c r="T173" s="13" t="str">
        <f t="shared" si="23"/>
        <v>Aug</v>
      </c>
    </row>
    <row r="174" spans="1:20" x14ac:dyDescent="0.3">
      <c r="A174" s="9">
        <v>45506</v>
      </c>
      <c r="B174" s="3">
        <v>3173</v>
      </c>
      <c r="C174" s="3">
        <v>1011</v>
      </c>
      <c r="D174" s="3">
        <v>2050</v>
      </c>
      <c r="E174" s="3">
        <v>4</v>
      </c>
      <c r="F174" s="3">
        <f>VLOOKUP(Sheet1!$D174,Customers!$A$1:$D$51,2,TRUE)</f>
        <v>54</v>
      </c>
      <c r="G174" s="3" t="str">
        <f>VLOOKUP(Sheet1!$D174,Customers!$A$1:$D$51,3,TRUE)</f>
        <v>Female</v>
      </c>
      <c r="H174" s="3" t="str">
        <f>VLOOKUP(Sheet1!$D174,Customers!$A$1:$D$51,4,TRUE)</f>
        <v>Delhi</v>
      </c>
      <c r="I174" s="3" t="str">
        <f>VLOOKUP($C174,Products!$A$1:$E$21,2,TRUE)</f>
        <v>Notebook</v>
      </c>
      <c r="J174" s="3" t="str">
        <f>VLOOKUP($C174,Products!$A$1:$E$21,3,TRUE)</f>
        <v>Office</v>
      </c>
      <c r="K174" s="4">
        <f>VLOOKUP($C174,Products!$A$1:$E$21,4,TRUE)</f>
        <v>120</v>
      </c>
      <c r="L174" s="4">
        <f>VLOOKUP($C174,Products!$A$1:$E$21,5,TRUE)</f>
        <v>180</v>
      </c>
      <c r="M174" s="4">
        <f t="shared" si="16"/>
        <v>480</v>
      </c>
      <c r="N174" s="4">
        <f t="shared" si="17"/>
        <v>720</v>
      </c>
      <c r="O174" s="4">
        <f t="shared" si="18"/>
        <v>240</v>
      </c>
      <c r="P174" s="5">
        <f t="shared" si="19"/>
        <v>0.33333333333333331</v>
      </c>
      <c r="Q174" s="3" t="str">
        <f t="shared" si="20"/>
        <v>Low_order</v>
      </c>
      <c r="R174" s="3" t="str">
        <f t="shared" si="21"/>
        <v>Senior</v>
      </c>
      <c r="S174" s="11" t="str">
        <f t="shared" si="22"/>
        <v>Medium_profit</v>
      </c>
      <c r="T174" s="13" t="str">
        <f t="shared" si="23"/>
        <v>Aug</v>
      </c>
    </row>
    <row r="175" spans="1:20" x14ac:dyDescent="0.3">
      <c r="A175" s="9">
        <v>45646</v>
      </c>
      <c r="B175" s="3">
        <v>3174</v>
      </c>
      <c r="C175" s="3">
        <v>1008</v>
      </c>
      <c r="D175" s="3">
        <v>2047</v>
      </c>
      <c r="E175" s="3">
        <v>8</v>
      </c>
      <c r="F175" s="3">
        <f>VLOOKUP(Sheet1!$D175,Customers!$A$1:$D$51,2,TRUE)</f>
        <v>28</v>
      </c>
      <c r="G175" s="3" t="str">
        <f>VLOOKUP(Sheet1!$D175,Customers!$A$1:$D$51,3,TRUE)</f>
        <v>Male</v>
      </c>
      <c r="H175" s="3" t="str">
        <f>VLOOKUP(Sheet1!$D175,Customers!$A$1:$D$51,4,TRUE)</f>
        <v>Chandigarh</v>
      </c>
      <c r="I175" s="3" t="str">
        <f>VLOOKUP($C175,Products!$A$1:$E$21,2,TRUE)</f>
        <v>USB Cable</v>
      </c>
      <c r="J175" s="3" t="str">
        <f>VLOOKUP($C175,Products!$A$1:$E$21,3,TRUE)</f>
        <v>Accessories</v>
      </c>
      <c r="K175" s="4">
        <f>VLOOKUP($C175,Products!$A$1:$E$21,4,TRUE)</f>
        <v>340</v>
      </c>
      <c r="L175" s="4">
        <f>VLOOKUP($C175,Products!$A$1:$E$21,5,TRUE)</f>
        <v>430</v>
      </c>
      <c r="M175" s="4">
        <f t="shared" si="16"/>
        <v>2720</v>
      </c>
      <c r="N175" s="4">
        <f t="shared" si="17"/>
        <v>3440</v>
      </c>
      <c r="O175" s="4">
        <f t="shared" si="18"/>
        <v>720</v>
      </c>
      <c r="P175" s="5">
        <f t="shared" si="19"/>
        <v>0.20930232558139536</v>
      </c>
      <c r="Q175" s="3" t="str">
        <f t="shared" si="20"/>
        <v>High_order</v>
      </c>
      <c r="R175" s="3" t="str">
        <f t="shared" si="21"/>
        <v>Young</v>
      </c>
      <c r="S175" s="11" t="str">
        <f t="shared" si="22"/>
        <v>Low_profit</v>
      </c>
      <c r="T175" s="13" t="str">
        <f t="shared" si="23"/>
        <v>Dec</v>
      </c>
    </row>
    <row r="176" spans="1:20" x14ac:dyDescent="0.3">
      <c r="A176" s="9">
        <v>45588</v>
      </c>
      <c r="B176" s="3">
        <v>3175</v>
      </c>
      <c r="C176" s="3">
        <v>1017</v>
      </c>
      <c r="D176" s="3">
        <v>2046</v>
      </c>
      <c r="E176" s="3">
        <v>9</v>
      </c>
      <c r="F176" s="3">
        <f>VLOOKUP(Sheet1!$D176,Customers!$A$1:$D$51,2,TRUE)</f>
        <v>52</v>
      </c>
      <c r="G176" s="3" t="str">
        <f>VLOOKUP(Sheet1!$D176,Customers!$A$1:$D$51,3,TRUE)</f>
        <v>Male</v>
      </c>
      <c r="H176" s="3" t="str">
        <f>VLOOKUP(Sheet1!$D176,Customers!$A$1:$D$51,4,TRUE)</f>
        <v>Pune</v>
      </c>
      <c r="I176" s="3" t="str">
        <f>VLOOKUP($C176,Products!$A$1:$E$21,2,TRUE)</f>
        <v>Dumbbells</v>
      </c>
      <c r="J176" s="3" t="str">
        <f>VLOOKUP($C176,Products!$A$1:$E$21,3,TRUE)</f>
        <v>Fitness</v>
      </c>
      <c r="K176" s="4">
        <f>VLOOKUP($C176,Products!$A$1:$E$21,4,TRUE)</f>
        <v>120</v>
      </c>
      <c r="L176" s="4">
        <f>VLOOKUP($C176,Products!$A$1:$E$21,5,TRUE)</f>
        <v>200</v>
      </c>
      <c r="M176" s="4">
        <f t="shared" si="16"/>
        <v>1080</v>
      </c>
      <c r="N176" s="4">
        <f t="shared" si="17"/>
        <v>1800</v>
      </c>
      <c r="O176" s="4">
        <f t="shared" si="18"/>
        <v>720</v>
      </c>
      <c r="P176" s="5">
        <f t="shared" si="19"/>
        <v>0.4</v>
      </c>
      <c r="Q176" s="3" t="str">
        <f t="shared" si="20"/>
        <v>Medium_order</v>
      </c>
      <c r="R176" s="3" t="str">
        <f t="shared" si="21"/>
        <v>Senior</v>
      </c>
      <c r="S176" s="11" t="str">
        <f t="shared" si="22"/>
        <v>Medium_profit</v>
      </c>
      <c r="T176" s="13" t="str">
        <f t="shared" si="23"/>
        <v>Oct</v>
      </c>
    </row>
    <row r="177" spans="1:20" x14ac:dyDescent="0.3">
      <c r="A177" s="9">
        <v>45466</v>
      </c>
      <c r="B177" s="3">
        <v>3176</v>
      </c>
      <c r="C177" s="3">
        <v>1009</v>
      </c>
      <c r="D177" s="3">
        <v>2008</v>
      </c>
      <c r="E177" s="3">
        <v>7</v>
      </c>
      <c r="F177" s="3">
        <f>VLOOKUP(Sheet1!$D177,Customers!$A$1:$D$51,2,TRUE)</f>
        <v>36</v>
      </c>
      <c r="G177" s="3" t="str">
        <f>VLOOKUP(Sheet1!$D177,Customers!$A$1:$D$51,3,TRUE)</f>
        <v>Male</v>
      </c>
      <c r="H177" s="3" t="str">
        <f>VLOOKUP(Sheet1!$D177,Customers!$A$1:$D$51,4,TRUE)</f>
        <v>Mumbai</v>
      </c>
      <c r="I177" s="3" t="str">
        <f>VLOOKUP($C177,Products!$A$1:$E$21,2,TRUE)</f>
        <v>Power Bank</v>
      </c>
      <c r="J177" s="3" t="str">
        <f>VLOOKUP($C177,Products!$A$1:$E$21,3,TRUE)</f>
        <v>Accessories</v>
      </c>
      <c r="K177" s="4">
        <f>VLOOKUP($C177,Products!$A$1:$E$21,4,TRUE)</f>
        <v>50</v>
      </c>
      <c r="L177" s="4">
        <f>VLOOKUP($C177,Products!$A$1:$E$21,5,TRUE)</f>
        <v>220</v>
      </c>
      <c r="M177" s="4">
        <f t="shared" si="16"/>
        <v>350</v>
      </c>
      <c r="N177" s="4">
        <f t="shared" si="17"/>
        <v>1540</v>
      </c>
      <c r="O177" s="4">
        <f t="shared" si="18"/>
        <v>1190</v>
      </c>
      <c r="P177" s="5">
        <f t="shared" si="19"/>
        <v>0.77272727272727271</v>
      </c>
      <c r="Q177" s="3" t="str">
        <f t="shared" si="20"/>
        <v>Medium_order</v>
      </c>
      <c r="R177" s="3" t="str">
        <f t="shared" si="21"/>
        <v>Middle_age</v>
      </c>
      <c r="S177" s="11" t="str">
        <f t="shared" si="22"/>
        <v>High_profit</v>
      </c>
      <c r="T177" s="13" t="str">
        <f t="shared" si="23"/>
        <v>Jun</v>
      </c>
    </row>
    <row r="178" spans="1:20" x14ac:dyDescent="0.3">
      <c r="A178" s="9">
        <v>45310</v>
      </c>
      <c r="B178" s="3">
        <v>3177</v>
      </c>
      <c r="C178" s="3">
        <v>1010</v>
      </c>
      <c r="D178" s="3">
        <v>2020</v>
      </c>
      <c r="E178" s="3">
        <v>5</v>
      </c>
      <c r="F178" s="3">
        <f>VLOOKUP(Sheet1!$D178,Customers!$A$1:$D$51,2,TRUE)</f>
        <v>27</v>
      </c>
      <c r="G178" s="3" t="str">
        <f>VLOOKUP(Sheet1!$D178,Customers!$A$1:$D$51,3,TRUE)</f>
        <v>Male</v>
      </c>
      <c r="H178" s="3" t="str">
        <f>VLOOKUP(Sheet1!$D178,Customers!$A$1:$D$51,4,TRUE)</f>
        <v>Chandigarh</v>
      </c>
      <c r="I178" s="3" t="str">
        <f>VLOOKUP($C178,Products!$A$1:$E$21,2,TRUE)</f>
        <v>Laptop Sleeve</v>
      </c>
      <c r="J178" s="3" t="str">
        <f>VLOOKUP($C178,Products!$A$1:$E$21,3,TRUE)</f>
        <v>Accessories</v>
      </c>
      <c r="K178" s="4">
        <f>VLOOKUP($C178,Products!$A$1:$E$21,4,TRUE)</f>
        <v>290</v>
      </c>
      <c r="L178" s="4">
        <f>VLOOKUP($C178,Products!$A$1:$E$21,5,TRUE)</f>
        <v>470</v>
      </c>
      <c r="M178" s="4">
        <f t="shared" si="16"/>
        <v>1450</v>
      </c>
      <c r="N178" s="4">
        <f t="shared" si="17"/>
        <v>2350</v>
      </c>
      <c r="O178" s="4">
        <f t="shared" si="18"/>
        <v>900</v>
      </c>
      <c r="P178" s="5">
        <f t="shared" si="19"/>
        <v>0.38297872340425532</v>
      </c>
      <c r="Q178" s="3" t="str">
        <f t="shared" si="20"/>
        <v>Medium_order</v>
      </c>
      <c r="R178" s="3" t="str">
        <f t="shared" si="21"/>
        <v>Young</v>
      </c>
      <c r="S178" s="11" t="str">
        <f t="shared" si="22"/>
        <v>Medium_profit</v>
      </c>
      <c r="T178" s="13" t="str">
        <f t="shared" si="23"/>
        <v>Jan</v>
      </c>
    </row>
    <row r="179" spans="1:20" x14ac:dyDescent="0.3">
      <c r="A179" s="9">
        <v>45419</v>
      </c>
      <c r="B179" s="3">
        <v>3178</v>
      </c>
      <c r="C179" s="3">
        <v>1003</v>
      </c>
      <c r="D179" s="3">
        <v>2017</v>
      </c>
      <c r="E179" s="3">
        <v>9</v>
      </c>
      <c r="F179" s="3">
        <f>VLOOKUP(Sheet1!$D179,Customers!$A$1:$D$51,2,TRUE)</f>
        <v>32</v>
      </c>
      <c r="G179" s="3" t="str">
        <f>VLOOKUP(Sheet1!$D179,Customers!$A$1:$D$51,3,TRUE)</f>
        <v>Male</v>
      </c>
      <c r="H179" s="3" t="str">
        <f>VLOOKUP(Sheet1!$D179,Customers!$A$1:$D$51,4,TRUE)</f>
        <v>Delhi</v>
      </c>
      <c r="I179" s="3" t="str">
        <f>VLOOKUP($C179,Products!$A$1:$E$21,2,TRUE)</f>
        <v>Mouse</v>
      </c>
      <c r="J179" s="3" t="str">
        <f>VLOOKUP($C179,Products!$A$1:$E$21,3,TRUE)</f>
        <v>Electronics</v>
      </c>
      <c r="K179" s="4">
        <f>VLOOKUP($C179,Products!$A$1:$E$21,4,TRUE)</f>
        <v>140</v>
      </c>
      <c r="L179" s="4">
        <f>VLOOKUP($C179,Products!$A$1:$E$21,5,TRUE)</f>
        <v>350</v>
      </c>
      <c r="M179" s="4">
        <f t="shared" si="16"/>
        <v>1260</v>
      </c>
      <c r="N179" s="4">
        <f t="shared" si="17"/>
        <v>3150</v>
      </c>
      <c r="O179" s="4">
        <f t="shared" si="18"/>
        <v>1890</v>
      </c>
      <c r="P179" s="5">
        <f t="shared" si="19"/>
        <v>0.6</v>
      </c>
      <c r="Q179" s="3" t="str">
        <f t="shared" si="20"/>
        <v>High_order</v>
      </c>
      <c r="R179" s="3" t="str">
        <f t="shared" si="21"/>
        <v>Middle_age</v>
      </c>
      <c r="S179" s="11" t="str">
        <f t="shared" si="22"/>
        <v>High_profit</v>
      </c>
      <c r="T179" s="13" t="str">
        <f t="shared" si="23"/>
        <v>May</v>
      </c>
    </row>
    <row r="180" spans="1:20" x14ac:dyDescent="0.3">
      <c r="A180" s="9">
        <v>45405</v>
      </c>
      <c r="B180" s="3">
        <v>3179</v>
      </c>
      <c r="C180" s="3">
        <v>1003</v>
      </c>
      <c r="D180" s="3">
        <v>2023</v>
      </c>
      <c r="E180" s="3">
        <v>7</v>
      </c>
      <c r="F180" s="3">
        <f>VLOOKUP(Sheet1!$D180,Customers!$A$1:$D$51,2,TRUE)</f>
        <v>41</v>
      </c>
      <c r="G180" s="3" t="str">
        <f>VLOOKUP(Sheet1!$D180,Customers!$A$1:$D$51,3,TRUE)</f>
        <v>Male</v>
      </c>
      <c r="H180" s="3" t="str">
        <f>VLOOKUP(Sheet1!$D180,Customers!$A$1:$D$51,4,TRUE)</f>
        <v>Delhi</v>
      </c>
      <c r="I180" s="3" t="str">
        <f>VLOOKUP($C180,Products!$A$1:$E$21,2,TRUE)</f>
        <v>Mouse</v>
      </c>
      <c r="J180" s="3" t="str">
        <f>VLOOKUP($C180,Products!$A$1:$E$21,3,TRUE)</f>
        <v>Electronics</v>
      </c>
      <c r="K180" s="4">
        <f>VLOOKUP($C180,Products!$A$1:$E$21,4,TRUE)</f>
        <v>140</v>
      </c>
      <c r="L180" s="4">
        <f>VLOOKUP($C180,Products!$A$1:$E$21,5,TRUE)</f>
        <v>350</v>
      </c>
      <c r="M180" s="4">
        <f t="shared" si="16"/>
        <v>980</v>
      </c>
      <c r="N180" s="4">
        <f t="shared" si="17"/>
        <v>2450</v>
      </c>
      <c r="O180" s="4">
        <f t="shared" si="18"/>
        <v>1470</v>
      </c>
      <c r="P180" s="5">
        <f t="shared" si="19"/>
        <v>0.6</v>
      </c>
      <c r="Q180" s="3" t="str">
        <f t="shared" si="20"/>
        <v>High_order</v>
      </c>
      <c r="R180" s="3" t="str">
        <f t="shared" si="21"/>
        <v>Senior</v>
      </c>
      <c r="S180" s="11" t="str">
        <f t="shared" si="22"/>
        <v>High_profit</v>
      </c>
      <c r="T180" s="13" t="str">
        <f t="shared" si="23"/>
        <v>Apr</v>
      </c>
    </row>
    <row r="181" spans="1:20" x14ac:dyDescent="0.3">
      <c r="A181" s="9">
        <v>45652</v>
      </c>
      <c r="B181" s="3">
        <v>3180</v>
      </c>
      <c r="C181" s="3">
        <v>1010</v>
      </c>
      <c r="D181" s="3">
        <v>2045</v>
      </c>
      <c r="E181" s="3">
        <v>6</v>
      </c>
      <c r="F181" s="3">
        <f>VLOOKUP(Sheet1!$D181,Customers!$A$1:$D$51,2,TRUE)</f>
        <v>36</v>
      </c>
      <c r="G181" s="3" t="str">
        <f>VLOOKUP(Sheet1!$D181,Customers!$A$1:$D$51,3,TRUE)</f>
        <v>Male</v>
      </c>
      <c r="H181" s="3" t="str">
        <f>VLOOKUP(Sheet1!$D181,Customers!$A$1:$D$51,4,TRUE)</f>
        <v>Delhi</v>
      </c>
      <c r="I181" s="3" t="str">
        <f>VLOOKUP($C181,Products!$A$1:$E$21,2,TRUE)</f>
        <v>Laptop Sleeve</v>
      </c>
      <c r="J181" s="3" t="str">
        <f>VLOOKUP($C181,Products!$A$1:$E$21,3,TRUE)</f>
        <v>Accessories</v>
      </c>
      <c r="K181" s="4">
        <f>VLOOKUP($C181,Products!$A$1:$E$21,4,TRUE)</f>
        <v>290</v>
      </c>
      <c r="L181" s="4">
        <f>VLOOKUP($C181,Products!$A$1:$E$21,5,TRUE)</f>
        <v>470</v>
      </c>
      <c r="M181" s="4">
        <f t="shared" si="16"/>
        <v>1740</v>
      </c>
      <c r="N181" s="4">
        <f t="shared" si="17"/>
        <v>2820</v>
      </c>
      <c r="O181" s="4">
        <f t="shared" si="18"/>
        <v>1080</v>
      </c>
      <c r="P181" s="5">
        <f t="shared" si="19"/>
        <v>0.38297872340425532</v>
      </c>
      <c r="Q181" s="3" t="str">
        <f t="shared" si="20"/>
        <v>High_order</v>
      </c>
      <c r="R181" s="3" t="str">
        <f t="shared" si="21"/>
        <v>Middle_age</v>
      </c>
      <c r="S181" s="11" t="str">
        <f t="shared" si="22"/>
        <v>Medium_profit</v>
      </c>
      <c r="T181" s="13" t="str">
        <f t="shared" si="23"/>
        <v>Dec</v>
      </c>
    </row>
    <row r="182" spans="1:20" x14ac:dyDescent="0.3">
      <c r="A182" s="9">
        <v>45421</v>
      </c>
      <c r="B182" s="3">
        <v>3181</v>
      </c>
      <c r="C182" s="3">
        <v>1003</v>
      </c>
      <c r="D182" s="3">
        <v>2007</v>
      </c>
      <c r="E182" s="3">
        <v>4</v>
      </c>
      <c r="F182" s="3">
        <f>VLOOKUP(Sheet1!$D182,Customers!$A$1:$D$51,2,TRUE)</f>
        <v>34</v>
      </c>
      <c r="G182" s="3" t="str">
        <f>VLOOKUP(Sheet1!$D182,Customers!$A$1:$D$51,3,TRUE)</f>
        <v>Male</v>
      </c>
      <c r="H182" s="3" t="str">
        <f>VLOOKUP(Sheet1!$D182,Customers!$A$1:$D$51,4,TRUE)</f>
        <v>Bangalore</v>
      </c>
      <c r="I182" s="3" t="str">
        <f>VLOOKUP($C182,Products!$A$1:$E$21,2,TRUE)</f>
        <v>Mouse</v>
      </c>
      <c r="J182" s="3" t="str">
        <f>VLOOKUP($C182,Products!$A$1:$E$21,3,TRUE)</f>
        <v>Electronics</v>
      </c>
      <c r="K182" s="4">
        <f>VLOOKUP($C182,Products!$A$1:$E$21,4,TRUE)</f>
        <v>140</v>
      </c>
      <c r="L182" s="4">
        <f>VLOOKUP($C182,Products!$A$1:$E$21,5,TRUE)</f>
        <v>350</v>
      </c>
      <c r="M182" s="4">
        <f t="shared" si="16"/>
        <v>560</v>
      </c>
      <c r="N182" s="4">
        <f t="shared" si="17"/>
        <v>1400</v>
      </c>
      <c r="O182" s="4">
        <f t="shared" si="18"/>
        <v>840</v>
      </c>
      <c r="P182" s="5">
        <f t="shared" si="19"/>
        <v>0.6</v>
      </c>
      <c r="Q182" s="3" t="str">
        <f t="shared" si="20"/>
        <v>Medium_order</v>
      </c>
      <c r="R182" s="3" t="str">
        <f t="shared" si="21"/>
        <v>Middle_age</v>
      </c>
      <c r="S182" s="11" t="str">
        <f t="shared" si="22"/>
        <v>High_profit</v>
      </c>
      <c r="T182" s="13" t="str">
        <f t="shared" si="23"/>
        <v>May</v>
      </c>
    </row>
    <row r="183" spans="1:20" x14ac:dyDescent="0.3">
      <c r="A183" s="9">
        <v>45421</v>
      </c>
      <c r="B183" s="3">
        <v>3182</v>
      </c>
      <c r="C183" s="3">
        <v>1014</v>
      </c>
      <c r="D183" s="3">
        <v>2048</v>
      </c>
      <c r="E183" s="3">
        <v>8</v>
      </c>
      <c r="F183" s="3">
        <f>VLOOKUP(Sheet1!$D183,Customers!$A$1:$D$51,2,TRUE)</f>
        <v>41</v>
      </c>
      <c r="G183" s="3" t="str">
        <f>VLOOKUP(Sheet1!$D183,Customers!$A$1:$D$51,3,TRUE)</f>
        <v>Female</v>
      </c>
      <c r="H183" s="3" t="str">
        <f>VLOOKUP(Sheet1!$D183,Customers!$A$1:$D$51,4,TRUE)</f>
        <v>Mumbai</v>
      </c>
      <c r="I183" s="3" t="str">
        <f>VLOOKUP($C183,Products!$A$1:$E$21,2,TRUE)</f>
        <v>Stapler</v>
      </c>
      <c r="J183" s="3" t="str">
        <f>VLOOKUP($C183,Products!$A$1:$E$21,3,TRUE)</f>
        <v>Office</v>
      </c>
      <c r="K183" s="4">
        <f>VLOOKUP($C183,Products!$A$1:$E$21,4,TRUE)</f>
        <v>170</v>
      </c>
      <c r="L183" s="4">
        <f>VLOOKUP($C183,Products!$A$1:$E$21,5,TRUE)</f>
        <v>280</v>
      </c>
      <c r="M183" s="4">
        <f t="shared" si="16"/>
        <v>1360</v>
      </c>
      <c r="N183" s="4">
        <f t="shared" si="17"/>
        <v>2240</v>
      </c>
      <c r="O183" s="4">
        <f t="shared" si="18"/>
        <v>880</v>
      </c>
      <c r="P183" s="5">
        <f t="shared" si="19"/>
        <v>0.39285714285714285</v>
      </c>
      <c r="Q183" s="3" t="str">
        <f t="shared" si="20"/>
        <v>Medium_order</v>
      </c>
      <c r="R183" s="3" t="str">
        <f t="shared" si="21"/>
        <v>Senior</v>
      </c>
      <c r="S183" s="11" t="str">
        <f t="shared" si="22"/>
        <v>Medium_profit</v>
      </c>
      <c r="T183" s="13" t="str">
        <f t="shared" si="23"/>
        <v>May</v>
      </c>
    </row>
    <row r="184" spans="1:20" x14ac:dyDescent="0.3">
      <c r="A184" s="9">
        <v>45532</v>
      </c>
      <c r="B184" s="3">
        <v>3183</v>
      </c>
      <c r="C184" s="3">
        <v>1015</v>
      </c>
      <c r="D184" s="3">
        <v>2018</v>
      </c>
      <c r="E184" s="3">
        <v>6</v>
      </c>
      <c r="F184" s="3">
        <f>VLOOKUP(Sheet1!$D184,Customers!$A$1:$D$51,2,TRUE)</f>
        <v>38</v>
      </c>
      <c r="G184" s="3" t="str">
        <f>VLOOKUP(Sheet1!$D184,Customers!$A$1:$D$51,3,TRUE)</f>
        <v>Female</v>
      </c>
      <c r="H184" s="3" t="str">
        <f>VLOOKUP(Sheet1!$D184,Customers!$A$1:$D$51,4,TRUE)</f>
        <v>Pune</v>
      </c>
      <c r="I184" s="3" t="str">
        <f>VLOOKUP($C184,Products!$A$1:$E$21,2,TRUE)</f>
        <v>Organizer</v>
      </c>
      <c r="J184" s="3" t="str">
        <f>VLOOKUP($C184,Products!$A$1:$E$21,3,TRUE)</f>
        <v>Office</v>
      </c>
      <c r="K184" s="4">
        <f>VLOOKUP($C184,Products!$A$1:$E$21,4,TRUE)</f>
        <v>70</v>
      </c>
      <c r="L184" s="4">
        <f>VLOOKUP($C184,Products!$A$1:$E$21,5,TRUE)</f>
        <v>210</v>
      </c>
      <c r="M184" s="4">
        <f t="shared" si="16"/>
        <v>420</v>
      </c>
      <c r="N184" s="4">
        <f t="shared" si="17"/>
        <v>1260</v>
      </c>
      <c r="O184" s="4">
        <f t="shared" si="18"/>
        <v>840</v>
      </c>
      <c r="P184" s="5">
        <f t="shared" si="19"/>
        <v>0.66666666666666663</v>
      </c>
      <c r="Q184" s="3" t="str">
        <f t="shared" si="20"/>
        <v>Low_order</v>
      </c>
      <c r="R184" s="3" t="str">
        <f t="shared" si="21"/>
        <v>Middle_age</v>
      </c>
      <c r="S184" s="11" t="str">
        <f t="shared" si="22"/>
        <v>High_profit</v>
      </c>
      <c r="T184" s="13" t="str">
        <f t="shared" si="23"/>
        <v>Aug</v>
      </c>
    </row>
    <row r="185" spans="1:20" x14ac:dyDescent="0.3">
      <c r="A185" s="9">
        <v>45652</v>
      </c>
      <c r="B185" s="3">
        <v>3184</v>
      </c>
      <c r="C185" s="3">
        <v>1001</v>
      </c>
      <c r="D185" s="3">
        <v>2015</v>
      </c>
      <c r="E185" s="3">
        <v>2</v>
      </c>
      <c r="F185" s="3">
        <f>VLOOKUP(Sheet1!$D185,Customers!$A$1:$D$51,2,TRUE)</f>
        <v>40</v>
      </c>
      <c r="G185" s="3" t="str">
        <f>VLOOKUP(Sheet1!$D185,Customers!$A$1:$D$51,3,TRUE)</f>
        <v>Male</v>
      </c>
      <c r="H185" s="3" t="str">
        <f>VLOOKUP(Sheet1!$D185,Customers!$A$1:$D$51,4,TRUE)</f>
        <v>Delhi</v>
      </c>
      <c r="I185" s="3" t="str">
        <f>VLOOKUP($C185,Products!$A$1:$E$21,2,TRUE)</f>
        <v>Headphones</v>
      </c>
      <c r="J185" s="3" t="str">
        <f>VLOOKUP($C185,Products!$A$1:$E$21,3,TRUE)</f>
        <v>Electronics</v>
      </c>
      <c r="K185" s="4">
        <f>VLOOKUP($C185,Products!$A$1:$E$21,4,TRUE)</f>
        <v>380</v>
      </c>
      <c r="L185" s="4">
        <f>VLOOKUP($C185,Products!$A$1:$E$21,5,TRUE)</f>
        <v>550</v>
      </c>
      <c r="M185" s="4">
        <f t="shared" si="16"/>
        <v>760</v>
      </c>
      <c r="N185" s="4">
        <f t="shared" si="17"/>
        <v>1100</v>
      </c>
      <c r="O185" s="4">
        <f t="shared" si="18"/>
        <v>340</v>
      </c>
      <c r="P185" s="5">
        <f t="shared" si="19"/>
        <v>0.30909090909090908</v>
      </c>
      <c r="Q185" s="3" t="str">
        <f t="shared" si="20"/>
        <v>Low_order</v>
      </c>
      <c r="R185" s="3" t="str">
        <f t="shared" si="21"/>
        <v>Middle_age</v>
      </c>
      <c r="S185" s="11" t="str">
        <f t="shared" si="22"/>
        <v>Low_profit</v>
      </c>
      <c r="T185" s="13" t="str">
        <f t="shared" si="23"/>
        <v>Dec</v>
      </c>
    </row>
    <row r="186" spans="1:20" x14ac:dyDescent="0.3">
      <c r="A186" s="9">
        <v>45494</v>
      </c>
      <c r="B186" s="3">
        <v>3185</v>
      </c>
      <c r="C186" s="3">
        <v>1018</v>
      </c>
      <c r="D186" s="3">
        <v>2002</v>
      </c>
      <c r="E186" s="3">
        <v>3</v>
      </c>
      <c r="F186" s="3">
        <f>VLOOKUP(Sheet1!$D186,Customers!$A$1:$D$51,2,TRUE)</f>
        <v>33</v>
      </c>
      <c r="G186" s="3" t="str">
        <f>VLOOKUP(Sheet1!$D186,Customers!$A$1:$D$51,3,TRUE)</f>
        <v>Male</v>
      </c>
      <c r="H186" s="3" t="str">
        <f>VLOOKUP(Sheet1!$D186,Customers!$A$1:$D$51,4,TRUE)</f>
        <v>Delhi</v>
      </c>
      <c r="I186" s="3" t="str">
        <f>VLOOKUP($C186,Products!$A$1:$E$21,2,TRUE)</f>
        <v>Resistance Band</v>
      </c>
      <c r="J186" s="3" t="str">
        <f>VLOOKUP($C186,Products!$A$1:$E$21,3,TRUE)</f>
        <v>Fitness</v>
      </c>
      <c r="K186" s="4">
        <f>VLOOKUP($C186,Products!$A$1:$E$21,4,TRUE)</f>
        <v>310</v>
      </c>
      <c r="L186" s="4">
        <f>VLOOKUP($C186,Products!$A$1:$E$21,5,TRUE)</f>
        <v>480</v>
      </c>
      <c r="M186" s="4">
        <f t="shared" si="16"/>
        <v>930</v>
      </c>
      <c r="N186" s="4">
        <f t="shared" si="17"/>
        <v>1440</v>
      </c>
      <c r="O186" s="4">
        <f t="shared" si="18"/>
        <v>510</v>
      </c>
      <c r="P186" s="5">
        <f t="shared" si="19"/>
        <v>0.35416666666666669</v>
      </c>
      <c r="Q186" s="3" t="str">
        <f t="shared" si="20"/>
        <v>Medium_order</v>
      </c>
      <c r="R186" s="3" t="str">
        <f t="shared" si="21"/>
        <v>Middle_age</v>
      </c>
      <c r="S186" s="11" t="str">
        <f t="shared" si="22"/>
        <v>Medium_profit</v>
      </c>
      <c r="T186" s="13" t="str">
        <f t="shared" si="23"/>
        <v>Jul</v>
      </c>
    </row>
    <row r="187" spans="1:20" x14ac:dyDescent="0.3">
      <c r="A187" s="9">
        <v>45317</v>
      </c>
      <c r="B187" s="3">
        <v>3186</v>
      </c>
      <c r="C187" s="3">
        <v>1016</v>
      </c>
      <c r="D187" s="3">
        <v>2048</v>
      </c>
      <c r="E187" s="3">
        <v>1</v>
      </c>
      <c r="F187" s="3">
        <f>VLOOKUP(Sheet1!$D187,Customers!$A$1:$D$51,2,TRUE)</f>
        <v>41</v>
      </c>
      <c r="G187" s="3" t="str">
        <f>VLOOKUP(Sheet1!$D187,Customers!$A$1:$D$51,3,TRUE)</f>
        <v>Female</v>
      </c>
      <c r="H187" s="3" t="str">
        <f>VLOOKUP(Sheet1!$D187,Customers!$A$1:$D$51,4,TRUE)</f>
        <v>Mumbai</v>
      </c>
      <c r="I187" s="3" t="str">
        <f>VLOOKUP($C187,Products!$A$1:$E$21,2,TRUE)</f>
        <v>Yoga Mat</v>
      </c>
      <c r="J187" s="3" t="str">
        <f>VLOOKUP($C187,Products!$A$1:$E$21,3,TRUE)</f>
        <v>Fitness</v>
      </c>
      <c r="K187" s="4">
        <f>VLOOKUP($C187,Products!$A$1:$E$21,4,TRUE)</f>
        <v>330</v>
      </c>
      <c r="L187" s="4">
        <f>VLOOKUP($C187,Products!$A$1:$E$21,5,TRUE)</f>
        <v>490</v>
      </c>
      <c r="M187" s="4">
        <f t="shared" si="16"/>
        <v>330</v>
      </c>
      <c r="N187" s="4">
        <f t="shared" si="17"/>
        <v>490</v>
      </c>
      <c r="O187" s="4">
        <f t="shared" si="18"/>
        <v>160</v>
      </c>
      <c r="P187" s="5">
        <f t="shared" si="19"/>
        <v>0.32653061224489793</v>
      </c>
      <c r="Q187" s="3" t="str">
        <f t="shared" si="20"/>
        <v>Low_order</v>
      </c>
      <c r="R187" s="3" t="str">
        <f t="shared" si="21"/>
        <v>Senior</v>
      </c>
      <c r="S187" s="11" t="str">
        <f t="shared" si="22"/>
        <v>Medium_profit</v>
      </c>
      <c r="T187" s="13" t="str">
        <f t="shared" si="23"/>
        <v>Jan</v>
      </c>
    </row>
    <row r="188" spans="1:20" x14ac:dyDescent="0.3">
      <c r="A188" s="9">
        <v>45515</v>
      </c>
      <c r="B188" s="3">
        <v>3187</v>
      </c>
      <c r="C188" s="3">
        <v>1011</v>
      </c>
      <c r="D188" s="3">
        <v>2011</v>
      </c>
      <c r="E188" s="3">
        <v>1</v>
      </c>
      <c r="F188" s="3">
        <f>VLOOKUP(Sheet1!$D188,Customers!$A$1:$D$51,2,TRUE)</f>
        <v>33</v>
      </c>
      <c r="G188" s="3" t="str">
        <f>VLOOKUP(Sheet1!$D188,Customers!$A$1:$D$51,3,TRUE)</f>
        <v>Female</v>
      </c>
      <c r="H188" s="3" t="str">
        <f>VLOOKUP(Sheet1!$D188,Customers!$A$1:$D$51,4,TRUE)</f>
        <v>Chandigarh</v>
      </c>
      <c r="I188" s="3" t="str">
        <f>VLOOKUP($C188,Products!$A$1:$E$21,2,TRUE)</f>
        <v>Notebook</v>
      </c>
      <c r="J188" s="3" t="str">
        <f>VLOOKUP($C188,Products!$A$1:$E$21,3,TRUE)</f>
        <v>Office</v>
      </c>
      <c r="K188" s="4">
        <f>VLOOKUP($C188,Products!$A$1:$E$21,4,TRUE)</f>
        <v>120</v>
      </c>
      <c r="L188" s="4">
        <f>VLOOKUP($C188,Products!$A$1:$E$21,5,TRUE)</f>
        <v>180</v>
      </c>
      <c r="M188" s="4">
        <f t="shared" si="16"/>
        <v>120</v>
      </c>
      <c r="N188" s="4">
        <f t="shared" si="17"/>
        <v>180</v>
      </c>
      <c r="O188" s="4">
        <f t="shared" si="18"/>
        <v>60</v>
      </c>
      <c r="P188" s="5">
        <f t="shared" si="19"/>
        <v>0.33333333333333331</v>
      </c>
      <c r="Q188" s="3" t="str">
        <f t="shared" si="20"/>
        <v>Low_order</v>
      </c>
      <c r="R188" s="3" t="str">
        <f t="shared" si="21"/>
        <v>Middle_age</v>
      </c>
      <c r="S188" s="11" t="str">
        <f t="shared" si="22"/>
        <v>Medium_profit</v>
      </c>
      <c r="T188" s="13" t="str">
        <f t="shared" si="23"/>
        <v>Aug</v>
      </c>
    </row>
    <row r="189" spans="1:20" x14ac:dyDescent="0.3">
      <c r="A189" s="9">
        <v>45559</v>
      </c>
      <c r="B189" s="3">
        <v>3188</v>
      </c>
      <c r="C189" s="3">
        <v>1011</v>
      </c>
      <c r="D189" s="3">
        <v>2014</v>
      </c>
      <c r="E189" s="3">
        <v>3</v>
      </c>
      <c r="F189" s="3">
        <f>VLOOKUP(Sheet1!$D189,Customers!$A$1:$D$51,2,TRUE)</f>
        <v>58</v>
      </c>
      <c r="G189" s="3" t="str">
        <f>VLOOKUP(Sheet1!$D189,Customers!$A$1:$D$51,3,TRUE)</f>
        <v>Female</v>
      </c>
      <c r="H189" s="3" t="str">
        <f>VLOOKUP(Sheet1!$D189,Customers!$A$1:$D$51,4,TRUE)</f>
        <v>Chandigarh</v>
      </c>
      <c r="I189" s="3" t="str">
        <f>VLOOKUP($C189,Products!$A$1:$E$21,2,TRUE)</f>
        <v>Notebook</v>
      </c>
      <c r="J189" s="3" t="str">
        <f>VLOOKUP($C189,Products!$A$1:$E$21,3,TRUE)</f>
        <v>Office</v>
      </c>
      <c r="K189" s="4">
        <f>VLOOKUP($C189,Products!$A$1:$E$21,4,TRUE)</f>
        <v>120</v>
      </c>
      <c r="L189" s="4">
        <f>VLOOKUP($C189,Products!$A$1:$E$21,5,TRUE)</f>
        <v>180</v>
      </c>
      <c r="M189" s="4">
        <f t="shared" si="16"/>
        <v>360</v>
      </c>
      <c r="N189" s="4">
        <f t="shared" si="17"/>
        <v>540</v>
      </c>
      <c r="O189" s="4">
        <f t="shared" si="18"/>
        <v>180</v>
      </c>
      <c r="P189" s="5">
        <f t="shared" si="19"/>
        <v>0.33333333333333331</v>
      </c>
      <c r="Q189" s="3" t="str">
        <f t="shared" si="20"/>
        <v>Low_order</v>
      </c>
      <c r="R189" s="3" t="str">
        <f t="shared" si="21"/>
        <v>Senior</v>
      </c>
      <c r="S189" s="11" t="str">
        <f t="shared" si="22"/>
        <v>Medium_profit</v>
      </c>
      <c r="T189" s="13" t="str">
        <f t="shared" si="23"/>
        <v>Sep</v>
      </c>
    </row>
    <row r="190" spans="1:20" x14ac:dyDescent="0.3">
      <c r="A190" s="9">
        <v>45454</v>
      </c>
      <c r="B190" s="3">
        <v>3189</v>
      </c>
      <c r="C190" s="3">
        <v>1005</v>
      </c>
      <c r="D190" s="3">
        <v>2023</v>
      </c>
      <c r="E190" s="3">
        <v>7</v>
      </c>
      <c r="F190" s="3">
        <f>VLOOKUP(Sheet1!$D190,Customers!$A$1:$D$51,2,TRUE)</f>
        <v>41</v>
      </c>
      <c r="G190" s="3" t="str">
        <f>VLOOKUP(Sheet1!$D190,Customers!$A$1:$D$51,3,TRUE)</f>
        <v>Male</v>
      </c>
      <c r="H190" s="3" t="str">
        <f>VLOOKUP(Sheet1!$D190,Customers!$A$1:$D$51,4,TRUE)</f>
        <v>Delhi</v>
      </c>
      <c r="I190" s="3" t="str">
        <f>VLOOKUP($C190,Products!$A$1:$E$21,2,TRUE)</f>
        <v>Webcam</v>
      </c>
      <c r="J190" s="3" t="str">
        <f>VLOOKUP($C190,Products!$A$1:$E$21,3,TRUE)</f>
        <v>Electronics</v>
      </c>
      <c r="K190" s="4">
        <f>VLOOKUP($C190,Products!$A$1:$E$21,4,TRUE)</f>
        <v>340</v>
      </c>
      <c r="L190" s="4">
        <f>VLOOKUP($C190,Products!$A$1:$E$21,5,TRUE)</f>
        <v>520</v>
      </c>
      <c r="M190" s="4">
        <f t="shared" si="16"/>
        <v>2380</v>
      </c>
      <c r="N190" s="4">
        <f t="shared" si="17"/>
        <v>3640</v>
      </c>
      <c r="O190" s="4">
        <f t="shared" si="18"/>
        <v>1260</v>
      </c>
      <c r="P190" s="5">
        <f t="shared" si="19"/>
        <v>0.34615384615384615</v>
      </c>
      <c r="Q190" s="3" t="str">
        <f t="shared" si="20"/>
        <v>High_order</v>
      </c>
      <c r="R190" s="3" t="str">
        <f t="shared" si="21"/>
        <v>Senior</v>
      </c>
      <c r="S190" s="11" t="str">
        <f t="shared" si="22"/>
        <v>Medium_profit</v>
      </c>
      <c r="T190" s="13" t="str">
        <f t="shared" si="23"/>
        <v>Jun</v>
      </c>
    </row>
    <row r="191" spans="1:20" x14ac:dyDescent="0.3">
      <c r="A191" s="9">
        <v>45298</v>
      </c>
      <c r="B191" s="3">
        <v>3190</v>
      </c>
      <c r="C191" s="3">
        <v>1019</v>
      </c>
      <c r="D191" s="3">
        <v>2032</v>
      </c>
      <c r="E191" s="3">
        <v>6</v>
      </c>
      <c r="F191" s="3">
        <f>VLOOKUP(Sheet1!$D191,Customers!$A$1:$D$51,2,TRUE)</f>
        <v>42</v>
      </c>
      <c r="G191" s="3" t="str">
        <f>VLOOKUP(Sheet1!$D191,Customers!$A$1:$D$51,3,TRUE)</f>
        <v>Male</v>
      </c>
      <c r="H191" s="3" t="str">
        <f>VLOOKUP(Sheet1!$D191,Customers!$A$1:$D$51,4,TRUE)</f>
        <v>Hyderabad</v>
      </c>
      <c r="I191" s="3" t="str">
        <f>VLOOKUP($C191,Products!$A$1:$E$21,2,TRUE)</f>
        <v>Skipping Rope</v>
      </c>
      <c r="J191" s="3" t="str">
        <f>VLOOKUP($C191,Products!$A$1:$E$21,3,TRUE)</f>
        <v>Fitness</v>
      </c>
      <c r="K191" s="4">
        <f>VLOOKUP($C191,Products!$A$1:$E$21,4,TRUE)</f>
        <v>140</v>
      </c>
      <c r="L191" s="4">
        <f>VLOOKUP($C191,Products!$A$1:$E$21,5,TRUE)</f>
        <v>270</v>
      </c>
      <c r="M191" s="4">
        <f t="shared" si="16"/>
        <v>840</v>
      </c>
      <c r="N191" s="4">
        <f t="shared" si="17"/>
        <v>1620</v>
      </c>
      <c r="O191" s="4">
        <f t="shared" si="18"/>
        <v>780</v>
      </c>
      <c r="P191" s="5">
        <f t="shared" si="19"/>
        <v>0.48148148148148145</v>
      </c>
      <c r="Q191" s="3" t="str">
        <f t="shared" si="20"/>
        <v>Medium_order</v>
      </c>
      <c r="R191" s="3" t="str">
        <f t="shared" si="21"/>
        <v>Senior</v>
      </c>
      <c r="S191" s="11" t="str">
        <f t="shared" si="22"/>
        <v>High_profit</v>
      </c>
      <c r="T191" s="13" t="str">
        <f t="shared" si="23"/>
        <v>Jan</v>
      </c>
    </row>
    <row r="192" spans="1:20" x14ac:dyDescent="0.3">
      <c r="A192" s="9">
        <v>45337</v>
      </c>
      <c r="B192" s="3">
        <v>3191</v>
      </c>
      <c r="C192" s="3">
        <v>1002</v>
      </c>
      <c r="D192" s="3">
        <v>2015</v>
      </c>
      <c r="E192" s="3">
        <v>10</v>
      </c>
      <c r="F192" s="3">
        <f>VLOOKUP(Sheet1!$D192,Customers!$A$1:$D$51,2,TRUE)</f>
        <v>40</v>
      </c>
      <c r="G192" s="3" t="str">
        <f>VLOOKUP(Sheet1!$D192,Customers!$A$1:$D$51,3,TRUE)</f>
        <v>Male</v>
      </c>
      <c r="H192" s="3" t="str">
        <f>VLOOKUP(Sheet1!$D192,Customers!$A$1:$D$51,4,TRUE)</f>
        <v>Delhi</v>
      </c>
      <c r="I192" s="3" t="str">
        <f>VLOOKUP($C192,Products!$A$1:$E$21,2,TRUE)</f>
        <v>Keyboard</v>
      </c>
      <c r="J192" s="3" t="str">
        <f>VLOOKUP($C192,Products!$A$1:$E$21,3,TRUE)</f>
        <v>Electronics</v>
      </c>
      <c r="K192" s="4">
        <f>VLOOKUP($C192,Products!$A$1:$E$21,4,TRUE)</f>
        <v>230</v>
      </c>
      <c r="L192" s="4">
        <f>VLOOKUP($C192,Products!$A$1:$E$21,5,TRUE)</f>
        <v>400</v>
      </c>
      <c r="M192" s="4">
        <f t="shared" si="16"/>
        <v>2300</v>
      </c>
      <c r="N192" s="4">
        <f t="shared" si="17"/>
        <v>4000</v>
      </c>
      <c r="O192" s="4">
        <f t="shared" si="18"/>
        <v>1700</v>
      </c>
      <c r="P192" s="5">
        <f t="shared" si="19"/>
        <v>0.42499999999999999</v>
      </c>
      <c r="Q192" s="3" t="str">
        <f t="shared" si="20"/>
        <v>High_order</v>
      </c>
      <c r="R192" s="3" t="str">
        <f t="shared" si="21"/>
        <v>Middle_age</v>
      </c>
      <c r="S192" s="11" t="str">
        <f t="shared" si="22"/>
        <v>High_profit</v>
      </c>
      <c r="T192" s="13" t="str">
        <f t="shared" si="23"/>
        <v>Feb</v>
      </c>
    </row>
    <row r="193" spans="1:20" x14ac:dyDescent="0.3">
      <c r="A193" s="9">
        <v>45364</v>
      </c>
      <c r="B193" s="3">
        <v>3192</v>
      </c>
      <c r="C193" s="3">
        <v>1002</v>
      </c>
      <c r="D193" s="3">
        <v>2015</v>
      </c>
      <c r="E193" s="3">
        <v>2</v>
      </c>
      <c r="F193" s="3">
        <f>VLOOKUP(Sheet1!$D193,Customers!$A$1:$D$51,2,TRUE)</f>
        <v>40</v>
      </c>
      <c r="G193" s="3" t="str">
        <f>VLOOKUP(Sheet1!$D193,Customers!$A$1:$D$51,3,TRUE)</f>
        <v>Male</v>
      </c>
      <c r="H193" s="3" t="str">
        <f>VLOOKUP(Sheet1!$D193,Customers!$A$1:$D$51,4,TRUE)</f>
        <v>Delhi</v>
      </c>
      <c r="I193" s="3" t="str">
        <f>VLOOKUP($C193,Products!$A$1:$E$21,2,TRUE)</f>
        <v>Keyboard</v>
      </c>
      <c r="J193" s="3" t="str">
        <f>VLOOKUP($C193,Products!$A$1:$E$21,3,TRUE)</f>
        <v>Electronics</v>
      </c>
      <c r="K193" s="4">
        <f>VLOOKUP($C193,Products!$A$1:$E$21,4,TRUE)</f>
        <v>230</v>
      </c>
      <c r="L193" s="4">
        <f>VLOOKUP($C193,Products!$A$1:$E$21,5,TRUE)</f>
        <v>400</v>
      </c>
      <c r="M193" s="4">
        <f t="shared" si="16"/>
        <v>460</v>
      </c>
      <c r="N193" s="4">
        <f t="shared" si="17"/>
        <v>800</v>
      </c>
      <c r="O193" s="4">
        <f t="shared" si="18"/>
        <v>340</v>
      </c>
      <c r="P193" s="5">
        <f t="shared" si="19"/>
        <v>0.42499999999999999</v>
      </c>
      <c r="Q193" s="3" t="str">
        <f t="shared" si="20"/>
        <v>Low_order</v>
      </c>
      <c r="R193" s="3" t="str">
        <f t="shared" si="21"/>
        <v>Middle_age</v>
      </c>
      <c r="S193" s="11" t="str">
        <f t="shared" si="22"/>
        <v>High_profit</v>
      </c>
      <c r="T193" s="13" t="str">
        <f t="shared" si="23"/>
        <v>Mar</v>
      </c>
    </row>
    <row r="194" spans="1:20" x14ac:dyDescent="0.3">
      <c r="A194" s="9">
        <v>45378</v>
      </c>
      <c r="B194" s="3">
        <v>3193</v>
      </c>
      <c r="C194" s="3">
        <v>1020</v>
      </c>
      <c r="D194" s="3">
        <v>2034</v>
      </c>
      <c r="E194" s="3">
        <v>5</v>
      </c>
      <c r="F194" s="3">
        <f>VLOOKUP(Sheet1!$D194,Customers!$A$1:$D$51,2,TRUE)</f>
        <v>48</v>
      </c>
      <c r="G194" s="3" t="str">
        <f>VLOOKUP(Sheet1!$D194,Customers!$A$1:$D$51,3,TRUE)</f>
        <v>Female</v>
      </c>
      <c r="H194" s="3" t="str">
        <f>VLOOKUP(Sheet1!$D194,Customers!$A$1:$D$51,4,TRUE)</f>
        <v>Pune</v>
      </c>
      <c r="I194" s="3" t="str">
        <f>VLOOKUP($C194,Products!$A$1:$E$21,2,TRUE)</f>
        <v>Water Bottle</v>
      </c>
      <c r="J194" s="3" t="str">
        <f>VLOOKUP($C194,Products!$A$1:$E$21,3,TRUE)</f>
        <v>Fitness</v>
      </c>
      <c r="K194" s="4">
        <f>VLOOKUP($C194,Products!$A$1:$E$21,4,TRUE)</f>
        <v>400</v>
      </c>
      <c r="L194" s="4">
        <f>VLOOKUP($C194,Products!$A$1:$E$21,5,TRUE)</f>
        <v>560</v>
      </c>
      <c r="M194" s="4">
        <f t="shared" si="16"/>
        <v>2000</v>
      </c>
      <c r="N194" s="4">
        <f t="shared" si="17"/>
        <v>2800</v>
      </c>
      <c r="O194" s="4">
        <f t="shared" si="18"/>
        <v>800</v>
      </c>
      <c r="P194" s="5">
        <f t="shared" si="19"/>
        <v>0.2857142857142857</v>
      </c>
      <c r="Q194" s="3" t="str">
        <f t="shared" si="20"/>
        <v>High_order</v>
      </c>
      <c r="R194" s="3" t="str">
        <f t="shared" si="21"/>
        <v>Senior</v>
      </c>
      <c r="S194" s="11" t="str">
        <f t="shared" si="22"/>
        <v>Low_profit</v>
      </c>
      <c r="T194" s="13" t="str">
        <f t="shared" si="23"/>
        <v>Mar</v>
      </c>
    </row>
    <row r="195" spans="1:20" x14ac:dyDescent="0.3">
      <c r="A195" s="9">
        <v>45623</v>
      </c>
      <c r="B195" s="3">
        <v>3194</v>
      </c>
      <c r="C195" s="3">
        <v>1017</v>
      </c>
      <c r="D195" s="3">
        <v>2033</v>
      </c>
      <c r="E195" s="3">
        <v>1</v>
      </c>
      <c r="F195" s="3">
        <f>VLOOKUP(Sheet1!$D195,Customers!$A$1:$D$51,2,TRUE)</f>
        <v>43</v>
      </c>
      <c r="G195" s="3" t="str">
        <f>VLOOKUP(Sheet1!$D195,Customers!$A$1:$D$51,3,TRUE)</f>
        <v>Female</v>
      </c>
      <c r="H195" s="3" t="str">
        <f>VLOOKUP(Sheet1!$D195,Customers!$A$1:$D$51,4,TRUE)</f>
        <v>Hyderabad</v>
      </c>
      <c r="I195" s="3" t="str">
        <f>VLOOKUP($C195,Products!$A$1:$E$21,2,TRUE)</f>
        <v>Dumbbells</v>
      </c>
      <c r="J195" s="3" t="str">
        <f>VLOOKUP($C195,Products!$A$1:$E$21,3,TRUE)</f>
        <v>Fitness</v>
      </c>
      <c r="K195" s="4">
        <f>VLOOKUP($C195,Products!$A$1:$E$21,4,TRUE)</f>
        <v>120</v>
      </c>
      <c r="L195" s="4">
        <f>VLOOKUP($C195,Products!$A$1:$E$21,5,TRUE)</f>
        <v>200</v>
      </c>
      <c r="M195" s="4">
        <f t="shared" ref="M195:M258" si="24">$K195*$E195</f>
        <v>120</v>
      </c>
      <c r="N195" s="4">
        <f t="shared" ref="N195:N258" si="25">$L195*$E195</f>
        <v>200</v>
      </c>
      <c r="O195" s="4">
        <f t="shared" ref="O195:O258" si="26">$N195-$M195</f>
        <v>80</v>
      </c>
      <c r="P195" s="5">
        <f t="shared" ref="P195:P258" si="27">$O195/$N195</f>
        <v>0.4</v>
      </c>
      <c r="Q195" s="3" t="str">
        <f t="shared" ref="Q195:Q258" si="28">IF($N195&lt;$N$508,"Low_order",IF($N195&lt;$N$509,"Medium_order","High_order"))</f>
        <v>Low_order</v>
      </c>
      <c r="R195" s="3" t="str">
        <f t="shared" ref="R195:R258" si="29">IF($F195&lt;$F$508,"Young",IF($F195&lt;$F$509,"Middle_age","Senior"))</f>
        <v>Senior</v>
      </c>
      <c r="S195" s="11" t="str">
        <f t="shared" ref="S195:S258" si="30">IF(P195&lt;$P$508,"Low_profit",IF(P195&lt;$P$509,"Medium_profit","High_profit"))</f>
        <v>Medium_profit</v>
      </c>
      <c r="T195" s="13" t="str">
        <f t="shared" ref="T195:T258" si="31">TEXT(A195,"MMM")</f>
        <v>Nov</v>
      </c>
    </row>
    <row r="196" spans="1:20" x14ac:dyDescent="0.3">
      <c r="A196" s="9">
        <v>45575</v>
      </c>
      <c r="B196" s="3">
        <v>3195</v>
      </c>
      <c r="C196" s="3">
        <v>1008</v>
      </c>
      <c r="D196" s="3">
        <v>2042</v>
      </c>
      <c r="E196" s="3">
        <v>6</v>
      </c>
      <c r="F196" s="3">
        <f>VLOOKUP(Sheet1!$D196,Customers!$A$1:$D$51,2,TRUE)</f>
        <v>18</v>
      </c>
      <c r="G196" s="3" t="str">
        <f>VLOOKUP(Sheet1!$D196,Customers!$A$1:$D$51,3,TRUE)</f>
        <v>Female</v>
      </c>
      <c r="H196" s="3" t="str">
        <f>VLOOKUP(Sheet1!$D196,Customers!$A$1:$D$51,4,TRUE)</f>
        <v>Bangalore</v>
      </c>
      <c r="I196" s="3" t="str">
        <f>VLOOKUP($C196,Products!$A$1:$E$21,2,TRUE)</f>
        <v>USB Cable</v>
      </c>
      <c r="J196" s="3" t="str">
        <f>VLOOKUP($C196,Products!$A$1:$E$21,3,TRUE)</f>
        <v>Accessories</v>
      </c>
      <c r="K196" s="4">
        <f>VLOOKUP($C196,Products!$A$1:$E$21,4,TRUE)</f>
        <v>340</v>
      </c>
      <c r="L196" s="4">
        <f>VLOOKUP($C196,Products!$A$1:$E$21,5,TRUE)</f>
        <v>430</v>
      </c>
      <c r="M196" s="4">
        <f t="shared" si="24"/>
        <v>2040</v>
      </c>
      <c r="N196" s="4">
        <f t="shared" si="25"/>
        <v>2580</v>
      </c>
      <c r="O196" s="4">
        <f t="shared" si="26"/>
        <v>540</v>
      </c>
      <c r="P196" s="5">
        <f t="shared" si="27"/>
        <v>0.20930232558139536</v>
      </c>
      <c r="Q196" s="3" t="str">
        <f t="shared" si="28"/>
        <v>High_order</v>
      </c>
      <c r="R196" s="3" t="str">
        <f t="shared" si="29"/>
        <v>Young</v>
      </c>
      <c r="S196" s="11" t="str">
        <f t="shared" si="30"/>
        <v>Low_profit</v>
      </c>
      <c r="T196" s="13" t="str">
        <f t="shared" si="31"/>
        <v>Oct</v>
      </c>
    </row>
    <row r="197" spans="1:20" x14ac:dyDescent="0.3">
      <c r="A197" s="9">
        <v>45576</v>
      </c>
      <c r="B197" s="3">
        <v>3196</v>
      </c>
      <c r="C197" s="3">
        <v>1006</v>
      </c>
      <c r="D197" s="3">
        <v>2042</v>
      </c>
      <c r="E197" s="3">
        <v>6</v>
      </c>
      <c r="F197" s="3">
        <f>VLOOKUP(Sheet1!$D197,Customers!$A$1:$D$51,2,TRUE)</f>
        <v>18</v>
      </c>
      <c r="G197" s="3" t="str">
        <f>VLOOKUP(Sheet1!$D197,Customers!$A$1:$D$51,3,TRUE)</f>
        <v>Female</v>
      </c>
      <c r="H197" s="3" t="str">
        <f>VLOOKUP(Sheet1!$D197,Customers!$A$1:$D$51,4,TRUE)</f>
        <v>Bangalore</v>
      </c>
      <c r="I197" s="3" t="str">
        <f>VLOOKUP($C197,Products!$A$1:$E$21,2,TRUE)</f>
        <v>Phone Case</v>
      </c>
      <c r="J197" s="3" t="str">
        <f>VLOOKUP($C197,Products!$A$1:$E$21,3,TRUE)</f>
        <v>Accessories</v>
      </c>
      <c r="K197" s="4">
        <f>VLOOKUP($C197,Products!$A$1:$E$21,4,TRUE)</f>
        <v>320</v>
      </c>
      <c r="L197" s="4">
        <f>VLOOKUP($C197,Products!$A$1:$E$21,5,TRUE)</f>
        <v>430</v>
      </c>
      <c r="M197" s="4">
        <f t="shared" si="24"/>
        <v>1920</v>
      </c>
      <c r="N197" s="4">
        <f t="shared" si="25"/>
        <v>2580</v>
      </c>
      <c r="O197" s="4">
        <f t="shared" si="26"/>
        <v>660</v>
      </c>
      <c r="P197" s="5">
        <f t="shared" si="27"/>
        <v>0.2558139534883721</v>
      </c>
      <c r="Q197" s="3" t="str">
        <f t="shared" si="28"/>
        <v>High_order</v>
      </c>
      <c r="R197" s="3" t="str">
        <f t="shared" si="29"/>
        <v>Young</v>
      </c>
      <c r="S197" s="11" t="str">
        <f t="shared" si="30"/>
        <v>Low_profit</v>
      </c>
      <c r="T197" s="13" t="str">
        <f t="shared" si="31"/>
        <v>Oct</v>
      </c>
    </row>
    <row r="198" spans="1:20" x14ac:dyDescent="0.3">
      <c r="A198" s="9">
        <v>45603</v>
      </c>
      <c r="B198" s="3">
        <v>3197</v>
      </c>
      <c r="C198" s="3">
        <v>1006</v>
      </c>
      <c r="D198" s="3">
        <v>2046</v>
      </c>
      <c r="E198" s="3">
        <v>4</v>
      </c>
      <c r="F198" s="3">
        <f>VLOOKUP(Sheet1!$D198,Customers!$A$1:$D$51,2,TRUE)</f>
        <v>52</v>
      </c>
      <c r="G198" s="3" t="str">
        <f>VLOOKUP(Sheet1!$D198,Customers!$A$1:$D$51,3,TRUE)</f>
        <v>Male</v>
      </c>
      <c r="H198" s="3" t="str">
        <f>VLOOKUP(Sheet1!$D198,Customers!$A$1:$D$51,4,TRUE)</f>
        <v>Pune</v>
      </c>
      <c r="I198" s="3" t="str">
        <f>VLOOKUP($C198,Products!$A$1:$E$21,2,TRUE)</f>
        <v>Phone Case</v>
      </c>
      <c r="J198" s="3" t="str">
        <f>VLOOKUP($C198,Products!$A$1:$E$21,3,TRUE)</f>
        <v>Accessories</v>
      </c>
      <c r="K198" s="4">
        <f>VLOOKUP($C198,Products!$A$1:$E$21,4,TRUE)</f>
        <v>320</v>
      </c>
      <c r="L198" s="4">
        <f>VLOOKUP($C198,Products!$A$1:$E$21,5,TRUE)</f>
        <v>430</v>
      </c>
      <c r="M198" s="4">
        <f t="shared" si="24"/>
        <v>1280</v>
      </c>
      <c r="N198" s="4">
        <f t="shared" si="25"/>
        <v>1720</v>
      </c>
      <c r="O198" s="4">
        <f t="shared" si="26"/>
        <v>440</v>
      </c>
      <c r="P198" s="5">
        <f t="shared" si="27"/>
        <v>0.2558139534883721</v>
      </c>
      <c r="Q198" s="3" t="str">
        <f t="shared" si="28"/>
        <v>Medium_order</v>
      </c>
      <c r="R198" s="3" t="str">
        <f t="shared" si="29"/>
        <v>Senior</v>
      </c>
      <c r="S198" s="11" t="str">
        <f t="shared" si="30"/>
        <v>Low_profit</v>
      </c>
      <c r="T198" s="13" t="str">
        <f t="shared" si="31"/>
        <v>Nov</v>
      </c>
    </row>
    <row r="199" spans="1:20" x14ac:dyDescent="0.3">
      <c r="A199" s="9">
        <v>45341</v>
      </c>
      <c r="B199" s="3">
        <v>3198</v>
      </c>
      <c r="C199" s="3">
        <v>1002</v>
      </c>
      <c r="D199" s="3">
        <v>2047</v>
      </c>
      <c r="E199" s="3">
        <v>6</v>
      </c>
      <c r="F199" s="3">
        <f>VLOOKUP(Sheet1!$D199,Customers!$A$1:$D$51,2,TRUE)</f>
        <v>28</v>
      </c>
      <c r="G199" s="3" t="str">
        <f>VLOOKUP(Sheet1!$D199,Customers!$A$1:$D$51,3,TRUE)</f>
        <v>Male</v>
      </c>
      <c r="H199" s="3" t="str">
        <f>VLOOKUP(Sheet1!$D199,Customers!$A$1:$D$51,4,TRUE)</f>
        <v>Chandigarh</v>
      </c>
      <c r="I199" s="3" t="str">
        <f>VLOOKUP($C199,Products!$A$1:$E$21,2,TRUE)</f>
        <v>Keyboard</v>
      </c>
      <c r="J199" s="3" t="str">
        <f>VLOOKUP($C199,Products!$A$1:$E$21,3,TRUE)</f>
        <v>Electronics</v>
      </c>
      <c r="K199" s="4">
        <f>VLOOKUP($C199,Products!$A$1:$E$21,4,TRUE)</f>
        <v>230</v>
      </c>
      <c r="L199" s="4">
        <f>VLOOKUP($C199,Products!$A$1:$E$21,5,TRUE)</f>
        <v>400</v>
      </c>
      <c r="M199" s="4">
        <f t="shared" si="24"/>
        <v>1380</v>
      </c>
      <c r="N199" s="4">
        <f t="shared" si="25"/>
        <v>2400</v>
      </c>
      <c r="O199" s="4">
        <f t="shared" si="26"/>
        <v>1020</v>
      </c>
      <c r="P199" s="5">
        <f t="shared" si="27"/>
        <v>0.42499999999999999</v>
      </c>
      <c r="Q199" s="3" t="str">
        <f t="shared" si="28"/>
        <v>Medium_order</v>
      </c>
      <c r="R199" s="3" t="str">
        <f t="shared" si="29"/>
        <v>Young</v>
      </c>
      <c r="S199" s="11" t="str">
        <f t="shared" si="30"/>
        <v>High_profit</v>
      </c>
      <c r="T199" s="13" t="str">
        <f t="shared" si="31"/>
        <v>Feb</v>
      </c>
    </row>
    <row r="200" spans="1:20" x14ac:dyDescent="0.3">
      <c r="A200" s="9">
        <v>45572</v>
      </c>
      <c r="B200" s="3">
        <v>3199</v>
      </c>
      <c r="C200" s="3">
        <v>1016</v>
      </c>
      <c r="D200" s="3">
        <v>2045</v>
      </c>
      <c r="E200" s="3">
        <v>8</v>
      </c>
      <c r="F200" s="3">
        <f>VLOOKUP(Sheet1!$D200,Customers!$A$1:$D$51,2,TRUE)</f>
        <v>36</v>
      </c>
      <c r="G200" s="3" t="str">
        <f>VLOOKUP(Sheet1!$D200,Customers!$A$1:$D$51,3,TRUE)</f>
        <v>Male</v>
      </c>
      <c r="H200" s="3" t="str">
        <f>VLOOKUP(Sheet1!$D200,Customers!$A$1:$D$51,4,TRUE)</f>
        <v>Delhi</v>
      </c>
      <c r="I200" s="3" t="str">
        <f>VLOOKUP($C200,Products!$A$1:$E$21,2,TRUE)</f>
        <v>Yoga Mat</v>
      </c>
      <c r="J200" s="3" t="str">
        <f>VLOOKUP($C200,Products!$A$1:$E$21,3,TRUE)</f>
        <v>Fitness</v>
      </c>
      <c r="K200" s="4">
        <f>VLOOKUP($C200,Products!$A$1:$E$21,4,TRUE)</f>
        <v>330</v>
      </c>
      <c r="L200" s="4">
        <f>VLOOKUP($C200,Products!$A$1:$E$21,5,TRUE)</f>
        <v>490</v>
      </c>
      <c r="M200" s="4">
        <f t="shared" si="24"/>
        <v>2640</v>
      </c>
      <c r="N200" s="4">
        <f t="shared" si="25"/>
        <v>3920</v>
      </c>
      <c r="O200" s="4">
        <f t="shared" si="26"/>
        <v>1280</v>
      </c>
      <c r="P200" s="5">
        <f t="shared" si="27"/>
        <v>0.32653061224489793</v>
      </c>
      <c r="Q200" s="3" t="str">
        <f t="shared" si="28"/>
        <v>High_order</v>
      </c>
      <c r="R200" s="3" t="str">
        <f t="shared" si="29"/>
        <v>Middle_age</v>
      </c>
      <c r="S200" s="11" t="str">
        <f t="shared" si="30"/>
        <v>Medium_profit</v>
      </c>
      <c r="T200" s="13" t="str">
        <f t="shared" si="31"/>
        <v>Oct</v>
      </c>
    </row>
    <row r="201" spans="1:20" x14ac:dyDescent="0.3">
      <c r="A201" s="9">
        <v>45323</v>
      </c>
      <c r="B201" s="3">
        <v>3200</v>
      </c>
      <c r="C201" s="3">
        <v>1006</v>
      </c>
      <c r="D201" s="3">
        <v>2019</v>
      </c>
      <c r="E201" s="3">
        <v>2</v>
      </c>
      <c r="F201" s="3">
        <f>VLOOKUP(Sheet1!$D201,Customers!$A$1:$D$51,2,TRUE)</f>
        <v>57</v>
      </c>
      <c r="G201" s="3" t="str">
        <f>VLOOKUP(Sheet1!$D201,Customers!$A$1:$D$51,3,TRUE)</f>
        <v>Male</v>
      </c>
      <c r="H201" s="3" t="str">
        <f>VLOOKUP(Sheet1!$D201,Customers!$A$1:$D$51,4,TRUE)</f>
        <v>Chandigarh</v>
      </c>
      <c r="I201" s="3" t="str">
        <f>VLOOKUP($C201,Products!$A$1:$E$21,2,TRUE)</f>
        <v>Phone Case</v>
      </c>
      <c r="J201" s="3" t="str">
        <f>VLOOKUP($C201,Products!$A$1:$E$21,3,TRUE)</f>
        <v>Accessories</v>
      </c>
      <c r="K201" s="4">
        <f>VLOOKUP($C201,Products!$A$1:$E$21,4,TRUE)</f>
        <v>320</v>
      </c>
      <c r="L201" s="4">
        <f>VLOOKUP($C201,Products!$A$1:$E$21,5,TRUE)</f>
        <v>430</v>
      </c>
      <c r="M201" s="4">
        <f t="shared" si="24"/>
        <v>640</v>
      </c>
      <c r="N201" s="4">
        <f t="shared" si="25"/>
        <v>860</v>
      </c>
      <c r="O201" s="4">
        <f t="shared" si="26"/>
        <v>220</v>
      </c>
      <c r="P201" s="5">
        <f t="shared" si="27"/>
        <v>0.2558139534883721</v>
      </c>
      <c r="Q201" s="3" t="str">
        <f t="shared" si="28"/>
        <v>Low_order</v>
      </c>
      <c r="R201" s="3" t="str">
        <f t="shared" si="29"/>
        <v>Senior</v>
      </c>
      <c r="S201" s="11" t="str">
        <f t="shared" si="30"/>
        <v>Low_profit</v>
      </c>
      <c r="T201" s="13" t="str">
        <f t="shared" si="31"/>
        <v>Feb</v>
      </c>
    </row>
    <row r="202" spans="1:20" x14ac:dyDescent="0.3">
      <c r="A202" s="9">
        <v>45542</v>
      </c>
      <c r="B202" s="3">
        <v>3201</v>
      </c>
      <c r="C202" s="3">
        <v>1020</v>
      </c>
      <c r="D202" s="3">
        <v>2026</v>
      </c>
      <c r="E202" s="3">
        <v>8</v>
      </c>
      <c r="F202" s="3">
        <f>VLOOKUP(Sheet1!$D202,Customers!$A$1:$D$51,2,TRUE)</f>
        <v>27</v>
      </c>
      <c r="G202" s="3" t="str">
        <f>VLOOKUP(Sheet1!$D202,Customers!$A$1:$D$51,3,TRUE)</f>
        <v>Female</v>
      </c>
      <c r="H202" s="3" t="str">
        <f>VLOOKUP(Sheet1!$D202,Customers!$A$1:$D$51,4,TRUE)</f>
        <v>Mumbai</v>
      </c>
      <c r="I202" s="3" t="str">
        <f>VLOOKUP($C202,Products!$A$1:$E$21,2,TRUE)</f>
        <v>Water Bottle</v>
      </c>
      <c r="J202" s="3" t="str">
        <f>VLOOKUP($C202,Products!$A$1:$E$21,3,TRUE)</f>
        <v>Fitness</v>
      </c>
      <c r="K202" s="4">
        <f>VLOOKUP($C202,Products!$A$1:$E$21,4,TRUE)</f>
        <v>400</v>
      </c>
      <c r="L202" s="4">
        <f>VLOOKUP($C202,Products!$A$1:$E$21,5,TRUE)</f>
        <v>560</v>
      </c>
      <c r="M202" s="4">
        <f t="shared" si="24"/>
        <v>3200</v>
      </c>
      <c r="N202" s="4">
        <f t="shared" si="25"/>
        <v>4480</v>
      </c>
      <c r="O202" s="4">
        <f t="shared" si="26"/>
        <v>1280</v>
      </c>
      <c r="P202" s="5">
        <f t="shared" si="27"/>
        <v>0.2857142857142857</v>
      </c>
      <c r="Q202" s="3" t="str">
        <f t="shared" si="28"/>
        <v>High_order</v>
      </c>
      <c r="R202" s="3" t="str">
        <f t="shared" si="29"/>
        <v>Young</v>
      </c>
      <c r="S202" s="11" t="str">
        <f t="shared" si="30"/>
        <v>Low_profit</v>
      </c>
      <c r="T202" s="13" t="str">
        <f t="shared" si="31"/>
        <v>Sep</v>
      </c>
    </row>
    <row r="203" spans="1:20" x14ac:dyDescent="0.3">
      <c r="A203" s="9">
        <v>45476</v>
      </c>
      <c r="B203" s="3">
        <v>3202</v>
      </c>
      <c r="C203" s="3">
        <v>1008</v>
      </c>
      <c r="D203" s="3">
        <v>2002</v>
      </c>
      <c r="E203" s="3">
        <v>7</v>
      </c>
      <c r="F203" s="3">
        <f>VLOOKUP(Sheet1!$D203,Customers!$A$1:$D$51,2,TRUE)</f>
        <v>33</v>
      </c>
      <c r="G203" s="3" t="str">
        <f>VLOOKUP(Sheet1!$D203,Customers!$A$1:$D$51,3,TRUE)</f>
        <v>Male</v>
      </c>
      <c r="H203" s="3" t="str">
        <f>VLOOKUP(Sheet1!$D203,Customers!$A$1:$D$51,4,TRUE)</f>
        <v>Delhi</v>
      </c>
      <c r="I203" s="3" t="str">
        <f>VLOOKUP($C203,Products!$A$1:$E$21,2,TRUE)</f>
        <v>USB Cable</v>
      </c>
      <c r="J203" s="3" t="str">
        <f>VLOOKUP($C203,Products!$A$1:$E$21,3,TRUE)</f>
        <v>Accessories</v>
      </c>
      <c r="K203" s="4">
        <f>VLOOKUP($C203,Products!$A$1:$E$21,4,TRUE)</f>
        <v>340</v>
      </c>
      <c r="L203" s="4">
        <f>VLOOKUP($C203,Products!$A$1:$E$21,5,TRUE)</f>
        <v>430</v>
      </c>
      <c r="M203" s="4">
        <f t="shared" si="24"/>
        <v>2380</v>
      </c>
      <c r="N203" s="4">
        <f t="shared" si="25"/>
        <v>3010</v>
      </c>
      <c r="O203" s="4">
        <f t="shared" si="26"/>
        <v>630</v>
      </c>
      <c r="P203" s="5">
        <f t="shared" si="27"/>
        <v>0.20930232558139536</v>
      </c>
      <c r="Q203" s="3" t="str">
        <f t="shared" si="28"/>
        <v>High_order</v>
      </c>
      <c r="R203" s="3" t="str">
        <f t="shared" si="29"/>
        <v>Middle_age</v>
      </c>
      <c r="S203" s="11" t="str">
        <f t="shared" si="30"/>
        <v>Low_profit</v>
      </c>
      <c r="T203" s="13" t="str">
        <f t="shared" si="31"/>
        <v>Jul</v>
      </c>
    </row>
    <row r="204" spans="1:20" x14ac:dyDescent="0.3">
      <c r="A204" s="9">
        <v>45324</v>
      </c>
      <c r="B204" s="3">
        <v>3203</v>
      </c>
      <c r="C204" s="3">
        <v>1016</v>
      </c>
      <c r="D204" s="3">
        <v>2002</v>
      </c>
      <c r="E204" s="3">
        <v>10</v>
      </c>
      <c r="F204" s="3">
        <f>VLOOKUP(Sheet1!$D204,Customers!$A$1:$D$51,2,TRUE)</f>
        <v>33</v>
      </c>
      <c r="G204" s="3" t="str">
        <f>VLOOKUP(Sheet1!$D204,Customers!$A$1:$D$51,3,TRUE)</f>
        <v>Male</v>
      </c>
      <c r="H204" s="3" t="str">
        <f>VLOOKUP(Sheet1!$D204,Customers!$A$1:$D$51,4,TRUE)</f>
        <v>Delhi</v>
      </c>
      <c r="I204" s="3" t="str">
        <f>VLOOKUP($C204,Products!$A$1:$E$21,2,TRUE)</f>
        <v>Yoga Mat</v>
      </c>
      <c r="J204" s="3" t="str">
        <f>VLOOKUP($C204,Products!$A$1:$E$21,3,TRUE)</f>
        <v>Fitness</v>
      </c>
      <c r="K204" s="4">
        <f>VLOOKUP($C204,Products!$A$1:$E$21,4,TRUE)</f>
        <v>330</v>
      </c>
      <c r="L204" s="4">
        <f>VLOOKUP($C204,Products!$A$1:$E$21,5,TRUE)</f>
        <v>490</v>
      </c>
      <c r="M204" s="4">
        <f t="shared" si="24"/>
        <v>3300</v>
      </c>
      <c r="N204" s="4">
        <f t="shared" si="25"/>
        <v>4900</v>
      </c>
      <c r="O204" s="4">
        <f t="shared" si="26"/>
        <v>1600</v>
      </c>
      <c r="P204" s="5">
        <f t="shared" si="27"/>
        <v>0.32653061224489793</v>
      </c>
      <c r="Q204" s="3" t="str">
        <f t="shared" si="28"/>
        <v>High_order</v>
      </c>
      <c r="R204" s="3" t="str">
        <f t="shared" si="29"/>
        <v>Middle_age</v>
      </c>
      <c r="S204" s="11" t="str">
        <f t="shared" si="30"/>
        <v>Medium_profit</v>
      </c>
      <c r="T204" s="13" t="str">
        <f t="shared" si="31"/>
        <v>Feb</v>
      </c>
    </row>
    <row r="205" spans="1:20" x14ac:dyDescent="0.3">
      <c r="A205" s="9">
        <v>45304</v>
      </c>
      <c r="B205" s="3">
        <v>3204</v>
      </c>
      <c r="C205" s="3">
        <v>1009</v>
      </c>
      <c r="D205" s="3">
        <v>2024</v>
      </c>
      <c r="E205" s="3">
        <v>6</v>
      </c>
      <c r="F205" s="3">
        <f>VLOOKUP(Sheet1!$D205,Customers!$A$1:$D$51,2,TRUE)</f>
        <v>26</v>
      </c>
      <c r="G205" s="3" t="str">
        <f>VLOOKUP(Sheet1!$D205,Customers!$A$1:$D$51,3,TRUE)</f>
        <v>Female</v>
      </c>
      <c r="H205" s="3" t="str">
        <f>VLOOKUP(Sheet1!$D205,Customers!$A$1:$D$51,4,TRUE)</f>
        <v>Delhi</v>
      </c>
      <c r="I205" s="3" t="str">
        <f>VLOOKUP($C205,Products!$A$1:$E$21,2,TRUE)</f>
        <v>Power Bank</v>
      </c>
      <c r="J205" s="3" t="str">
        <f>VLOOKUP($C205,Products!$A$1:$E$21,3,TRUE)</f>
        <v>Accessories</v>
      </c>
      <c r="K205" s="4">
        <f>VLOOKUP($C205,Products!$A$1:$E$21,4,TRUE)</f>
        <v>50</v>
      </c>
      <c r="L205" s="4">
        <f>VLOOKUP($C205,Products!$A$1:$E$21,5,TRUE)</f>
        <v>220</v>
      </c>
      <c r="M205" s="4">
        <f t="shared" si="24"/>
        <v>300</v>
      </c>
      <c r="N205" s="4">
        <f t="shared" si="25"/>
        <v>1320</v>
      </c>
      <c r="O205" s="4">
        <f t="shared" si="26"/>
        <v>1020</v>
      </c>
      <c r="P205" s="5">
        <f t="shared" si="27"/>
        <v>0.77272727272727271</v>
      </c>
      <c r="Q205" s="3" t="str">
        <f t="shared" si="28"/>
        <v>Medium_order</v>
      </c>
      <c r="R205" s="3" t="str">
        <f t="shared" si="29"/>
        <v>Young</v>
      </c>
      <c r="S205" s="11" t="str">
        <f t="shared" si="30"/>
        <v>High_profit</v>
      </c>
      <c r="T205" s="13" t="str">
        <f t="shared" si="31"/>
        <v>Jan</v>
      </c>
    </row>
    <row r="206" spans="1:20" x14ac:dyDescent="0.3">
      <c r="A206" s="9">
        <v>45478</v>
      </c>
      <c r="B206" s="3">
        <v>3205</v>
      </c>
      <c r="C206" s="3">
        <v>1003</v>
      </c>
      <c r="D206" s="3">
        <v>2033</v>
      </c>
      <c r="E206" s="3">
        <v>8</v>
      </c>
      <c r="F206" s="3">
        <f>VLOOKUP(Sheet1!$D206,Customers!$A$1:$D$51,2,TRUE)</f>
        <v>43</v>
      </c>
      <c r="G206" s="3" t="str">
        <f>VLOOKUP(Sheet1!$D206,Customers!$A$1:$D$51,3,TRUE)</f>
        <v>Female</v>
      </c>
      <c r="H206" s="3" t="str">
        <f>VLOOKUP(Sheet1!$D206,Customers!$A$1:$D$51,4,TRUE)</f>
        <v>Hyderabad</v>
      </c>
      <c r="I206" s="3" t="str">
        <f>VLOOKUP($C206,Products!$A$1:$E$21,2,TRUE)</f>
        <v>Mouse</v>
      </c>
      <c r="J206" s="3" t="str">
        <f>VLOOKUP($C206,Products!$A$1:$E$21,3,TRUE)</f>
        <v>Electronics</v>
      </c>
      <c r="K206" s="4">
        <f>VLOOKUP($C206,Products!$A$1:$E$21,4,TRUE)</f>
        <v>140</v>
      </c>
      <c r="L206" s="4">
        <f>VLOOKUP($C206,Products!$A$1:$E$21,5,TRUE)</f>
        <v>350</v>
      </c>
      <c r="M206" s="4">
        <f t="shared" si="24"/>
        <v>1120</v>
      </c>
      <c r="N206" s="4">
        <f t="shared" si="25"/>
        <v>2800</v>
      </c>
      <c r="O206" s="4">
        <f t="shared" si="26"/>
        <v>1680</v>
      </c>
      <c r="P206" s="5">
        <f t="shared" si="27"/>
        <v>0.6</v>
      </c>
      <c r="Q206" s="3" t="str">
        <f t="shared" si="28"/>
        <v>High_order</v>
      </c>
      <c r="R206" s="3" t="str">
        <f t="shared" si="29"/>
        <v>Senior</v>
      </c>
      <c r="S206" s="11" t="str">
        <f t="shared" si="30"/>
        <v>High_profit</v>
      </c>
      <c r="T206" s="13" t="str">
        <f t="shared" si="31"/>
        <v>Jul</v>
      </c>
    </row>
    <row r="207" spans="1:20" x14ac:dyDescent="0.3">
      <c r="A207" s="9">
        <v>45530</v>
      </c>
      <c r="B207" s="3">
        <v>3206</v>
      </c>
      <c r="C207" s="3">
        <v>1002</v>
      </c>
      <c r="D207" s="3">
        <v>2004</v>
      </c>
      <c r="E207" s="3">
        <v>7</v>
      </c>
      <c r="F207" s="3">
        <f>VLOOKUP(Sheet1!$D207,Customers!$A$1:$D$51,2,TRUE)</f>
        <v>25</v>
      </c>
      <c r="G207" s="3" t="str">
        <f>VLOOKUP(Sheet1!$D207,Customers!$A$1:$D$51,3,TRUE)</f>
        <v>Male</v>
      </c>
      <c r="H207" s="3" t="str">
        <f>VLOOKUP(Sheet1!$D207,Customers!$A$1:$D$51,4,TRUE)</f>
        <v>Pune</v>
      </c>
      <c r="I207" s="3" t="str">
        <f>VLOOKUP($C207,Products!$A$1:$E$21,2,TRUE)</f>
        <v>Keyboard</v>
      </c>
      <c r="J207" s="3" t="str">
        <f>VLOOKUP($C207,Products!$A$1:$E$21,3,TRUE)</f>
        <v>Electronics</v>
      </c>
      <c r="K207" s="4">
        <f>VLOOKUP($C207,Products!$A$1:$E$21,4,TRUE)</f>
        <v>230</v>
      </c>
      <c r="L207" s="4">
        <f>VLOOKUP($C207,Products!$A$1:$E$21,5,TRUE)</f>
        <v>400</v>
      </c>
      <c r="M207" s="4">
        <f t="shared" si="24"/>
        <v>1610</v>
      </c>
      <c r="N207" s="4">
        <f t="shared" si="25"/>
        <v>2800</v>
      </c>
      <c r="O207" s="4">
        <f t="shared" si="26"/>
        <v>1190</v>
      </c>
      <c r="P207" s="5">
        <f t="shared" si="27"/>
        <v>0.42499999999999999</v>
      </c>
      <c r="Q207" s="3" t="str">
        <f t="shared" si="28"/>
        <v>High_order</v>
      </c>
      <c r="R207" s="3" t="str">
        <f t="shared" si="29"/>
        <v>Young</v>
      </c>
      <c r="S207" s="11" t="str">
        <f t="shared" si="30"/>
        <v>High_profit</v>
      </c>
      <c r="T207" s="13" t="str">
        <f t="shared" si="31"/>
        <v>Aug</v>
      </c>
    </row>
    <row r="208" spans="1:20" x14ac:dyDescent="0.3">
      <c r="A208" s="9">
        <v>45330</v>
      </c>
      <c r="B208" s="3">
        <v>3207</v>
      </c>
      <c r="C208" s="3">
        <v>1011</v>
      </c>
      <c r="D208" s="3">
        <v>2006</v>
      </c>
      <c r="E208" s="3">
        <v>2</v>
      </c>
      <c r="F208" s="3">
        <f>VLOOKUP(Sheet1!$D208,Customers!$A$1:$D$51,2,TRUE)</f>
        <v>32</v>
      </c>
      <c r="G208" s="3" t="str">
        <f>VLOOKUP(Sheet1!$D208,Customers!$A$1:$D$51,3,TRUE)</f>
        <v>Male</v>
      </c>
      <c r="H208" s="3" t="str">
        <f>VLOOKUP(Sheet1!$D208,Customers!$A$1:$D$51,4,TRUE)</f>
        <v>Hyderabad</v>
      </c>
      <c r="I208" s="3" t="str">
        <f>VLOOKUP($C208,Products!$A$1:$E$21,2,TRUE)</f>
        <v>Notebook</v>
      </c>
      <c r="J208" s="3" t="str">
        <f>VLOOKUP($C208,Products!$A$1:$E$21,3,TRUE)</f>
        <v>Office</v>
      </c>
      <c r="K208" s="4">
        <f>VLOOKUP($C208,Products!$A$1:$E$21,4,TRUE)</f>
        <v>120</v>
      </c>
      <c r="L208" s="4">
        <f>VLOOKUP($C208,Products!$A$1:$E$21,5,TRUE)</f>
        <v>180</v>
      </c>
      <c r="M208" s="4">
        <f t="shared" si="24"/>
        <v>240</v>
      </c>
      <c r="N208" s="4">
        <f t="shared" si="25"/>
        <v>360</v>
      </c>
      <c r="O208" s="4">
        <f t="shared" si="26"/>
        <v>120</v>
      </c>
      <c r="P208" s="5">
        <f t="shared" si="27"/>
        <v>0.33333333333333331</v>
      </c>
      <c r="Q208" s="3" t="str">
        <f t="shared" si="28"/>
        <v>Low_order</v>
      </c>
      <c r="R208" s="3" t="str">
        <f t="shared" si="29"/>
        <v>Middle_age</v>
      </c>
      <c r="S208" s="11" t="str">
        <f t="shared" si="30"/>
        <v>Medium_profit</v>
      </c>
      <c r="T208" s="13" t="str">
        <f t="shared" si="31"/>
        <v>Feb</v>
      </c>
    </row>
    <row r="209" spans="1:20" x14ac:dyDescent="0.3">
      <c r="A209" s="9">
        <v>45450</v>
      </c>
      <c r="B209" s="3">
        <v>3208</v>
      </c>
      <c r="C209" s="3">
        <v>1010</v>
      </c>
      <c r="D209" s="3">
        <v>2044</v>
      </c>
      <c r="E209" s="3">
        <v>8</v>
      </c>
      <c r="F209" s="3">
        <f>VLOOKUP(Sheet1!$D209,Customers!$A$1:$D$51,2,TRUE)</f>
        <v>44</v>
      </c>
      <c r="G209" s="3" t="str">
        <f>VLOOKUP(Sheet1!$D209,Customers!$A$1:$D$51,3,TRUE)</f>
        <v>Female</v>
      </c>
      <c r="H209" s="3" t="str">
        <f>VLOOKUP(Sheet1!$D209,Customers!$A$1:$D$51,4,TRUE)</f>
        <v>Mumbai</v>
      </c>
      <c r="I209" s="3" t="str">
        <f>VLOOKUP($C209,Products!$A$1:$E$21,2,TRUE)</f>
        <v>Laptop Sleeve</v>
      </c>
      <c r="J209" s="3" t="str">
        <f>VLOOKUP($C209,Products!$A$1:$E$21,3,TRUE)</f>
        <v>Accessories</v>
      </c>
      <c r="K209" s="4">
        <f>VLOOKUP($C209,Products!$A$1:$E$21,4,TRUE)</f>
        <v>290</v>
      </c>
      <c r="L209" s="4">
        <f>VLOOKUP($C209,Products!$A$1:$E$21,5,TRUE)</f>
        <v>470</v>
      </c>
      <c r="M209" s="4">
        <f t="shared" si="24"/>
        <v>2320</v>
      </c>
      <c r="N209" s="4">
        <f t="shared" si="25"/>
        <v>3760</v>
      </c>
      <c r="O209" s="4">
        <f t="shared" si="26"/>
        <v>1440</v>
      </c>
      <c r="P209" s="5">
        <f t="shared" si="27"/>
        <v>0.38297872340425532</v>
      </c>
      <c r="Q209" s="3" t="str">
        <f t="shared" si="28"/>
        <v>High_order</v>
      </c>
      <c r="R209" s="3" t="str">
        <f t="shared" si="29"/>
        <v>Senior</v>
      </c>
      <c r="S209" s="11" t="str">
        <f t="shared" si="30"/>
        <v>Medium_profit</v>
      </c>
      <c r="T209" s="13" t="str">
        <f t="shared" si="31"/>
        <v>Jun</v>
      </c>
    </row>
    <row r="210" spans="1:20" x14ac:dyDescent="0.3">
      <c r="A210" s="9">
        <v>45431</v>
      </c>
      <c r="B210" s="3">
        <v>3209</v>
      </c>
      <c r="C210" s="3">
        <v>1016</v>
      </c>
      <c r="D210" s="3">
        <v>2006</v>
      </c>
      <c r="E210" s="3">
        <v>3</v>
      </c>
      <c r="F210" s="3">
        <f>VLOOKUP(Sheet1!$D210,Customers!$A$1:$D$51,2,TRUE)</f>
        <v>32</v>
      </c>
      <c r="G210" s="3" t="str">
        <f>VLOOKUP(Sheet1!$D210,Customers!$A$1:$D$51,3,TRUE)</f>
        <v>Male</v>
      </c>
      <c r="H210" s="3" t="str">
        <f>VLOOKUP(Sheet1!$D210,Customers!$A$1:$D$51,4,TRUE)</f>
        <v>Hyderabad</v>
      </c>
      <c r="I210" s="3" t="str">
        <f>VLOOKUP($C210,Products!$A$1:$E$21,2,TRUE)</f>
        <v>Yoga Mat</v>
      </c>
      <c r="J210" s="3" t="str">
        <f>VLOOKUP($C210,Products!$A$1:$E$21,3,TRUE)</f>
        <v>Fitness</v>
      </c>
      <c r="K210" s="4">
        <f>VLOOKUP($C210,Products!$A$1:$E$21,4,TRUE)</f>
        <v>330</v>
      </c>
      <c r="L210" s="4">
        <f>VLOOKUP($C210,Products!$A$1:$E$21,5,TRUE)</f>
        <v>490</v>
      </c>
      <c r="M210" s="4">
        <f t="shared" si="24"/>
        <v>990</v>
      </c>
      <c r="N210" s="4">
        <f t="shared" si="25"/>
        <v>1470</v>
      </c>
      <c r="O210" s="4">
        <f t="shared" si="26"/>
        <v>480</v>
      </c>
      <c r="P210" s="5">
        <f t="shared" si="27"/>
        <v>0.32653061224489793</v>
      </c>
      <c r="Q210" s="3" t="str">
        <f t="shared" si="28"/>
        <v>Medium_order</v>
      </c>
      <c r="R210" s="3" t="str">
        <f t="shared" si="29"/>
        <v>Middle_age</v>
      </c>
      <c r="S210" s="11" t="str">
        <f t="shared" si="30"/>
        <v>Medium_profit</v>
      </c>
      <c r="T210" s="13" t="str">
        <f t="shared" si="31"/>
        <v>May</v>
      </c>
    </row>
    <row r="211" spans="1:20" x14ac:dyDescent="0.3">
      <c r="A211" s="9">
        <v>45546</v>
      </c>
      <c r="B211" s="3">
        <v>3210</v>
      </c>
      <c r="C211" s="3">
        <v>1017</v>
      </c>
      <c r="D211" s="3">
        <v>2007</v>
      </c>
      <c r="E211" s="3">
        <v>10</v>
      </c>
      <c r="F211" s="3">
        <f>VLOOKUP(Sheet1!$D211,Customers!$A$1:$D$51,2,TRUE)</f>
        <v>34</v>
      </c>
      <c r="G211" s="3" t="str">
        <f>VLOOKUP(Sheet1!$D211,Customers!$A$1:$D$51,3,TRUE)</f>
        <v>Male</v>
      </c>
      <c r="H211" s="3" t="str">
        <f>VLOOKUP(Sheet1!$D211,Customers!$A$1:$D$51,4,TRUE)</f>
        <v>Bangalore</v>
      </c>
      <c r="I211" s="3" t="str">
        <f>VLOOKUP($C211,Products!$A$1:$E$21,2,TRUE)</f>
        <v>Dumbbells</v>
      </c>
      <c r="J211" s="3" t="str">
        <f>VLOOKUP($C211,Products!$A$1:$E$21,3,TRUE)</f>
        <v>Fitness</v>
      </c>
      <c r="K211" s="4">
        <f>VLOOKUP($C211,Products!$A$1:$E$21,4,TRUE)</f>
        <v>120</v>
      </c>
      <c r="L211" s="4">
        <f>VLOOKUP($C211,Products!$A$1:$E$21,5,TRUE)</f>
        <v>200</v>
      </c>
      <c r="M211" s="4">
        <f t="shared" si="24"/>
        <v>1200</v>
      </c>
      <c r="N211" s="4">
        <f t="shared" si="25"/>
        <v>2000</v>
      </c>
      <c r="O211" s="4">
        <f t="shared" si="26"/>
        <v>800</v>
      </c>
      <c r="P211" s="5">
        <f t="shared" si="27"/>
        <v>0.4</v>
      </c>
      <c r="Q211" s="3" t="str">
        <f t="shared" si="28"/>
        <v>Medium_order</v>
      </c>
      <c r="R211" s="3" t="str">
        <f t="shared" si="29"/>
        <v>Middle_age</v>
      </c>
      <c r="S211" s="11" t="str">
        <f t="shared" si="30"/>
        <v>Medium_profit</v>
      </c>
      <c r="T211" s="13" t="str">
        <f t="shared" si="31"/>
        <v>Sep</v>
      </c>
    </row>
    <row r="212" spans="1:20" x14ac:dyDescent="0.3">
      <c r="A212" s="9">
        <v>45618</v>
      </c>
      <c r="B212" s="3">
        <v>3211</v>
      </c>
      <c r="C212" s="3">
        <v>1014</v>
      </c>
      <c r="D212" s="3">
        <v>2047</v>
      </c>
      <c r="E212" s="3">
        <v>8</v>
      </c>
      <c r="F212" s="3">
        <f>VLOOKUP(Sheet1!$D212,Customers!$A$1:$D$51,2,TRUE)</f>
        <v>28</v>
      </c>
      <c r="G212" s="3" t="str">
        <f>VLOOKUP(Sheet1!$D212,Customers!$A$1:$D$51,3,TRUE)</f>
        <v>Male</v>
      </c>
      <c r="H212" s="3" t="str">
        <f>VLOOKUP(Sheet1!$D212,Customers!$A$1:$D$51,4,TRUE)</f>
        <v>Chandigarh</v>
      </c>
      <c r="I212" s="3" t="str">
        <f>VLOOKUP($C212,Products!$A$1:$E$21,2,TRUE)</f>
        <v>Stapler</v>
      </c>
      <c r="J212" s="3" t="str">
        <f>VLOOKUP($C212,Products!$A$1:$E$21,3,TRUE)</f>
        <v>Office</v>
      </c>
      <c r="K212" s="4">
        <f>VLOOKUP($C212,Products!$A$1:$E$21,4,TRUE)</f>
        <v>170</v>
      </c>
      <c r="L212" s="4">
        <f>VLOOKUP($C212,Products!$A$1:$E$21,5,TRUE)</f>
        <v>280</v>
      </c>
      <c r="M212" s="4">
        <f t="shared" si="24"/>
        <v>1360</v>
      </c>
      <c r="N212" s="4">
        <f t="shared" si="25"/>
        <v>2240</v>
      </c>
      <c r="O212" s="4">
        <f t="shared" si="26"/>
        <v>880</v>
      </c>
      <c r="P212" s="5">
        <f t="shared" si="27"/>
        <v>0.39285714285714285</v>
      </c>
      <c r="Q212" s="3" t="str">
        <f t="shared" si="28"/>
        <v>Medium_order</v>
      </c>
      <c r="R212" s="3" t="str">
        <f t="shared" si="29"/>
        <v>Young</v>
      </c>
      <c r="S212" s="11" t="str">
        <f t="shared" si="30"/>
        <v>Medium_profit</v>
      </c>
      <c r="T212" s="13" t="str">
        <f t="shared" si="31"/>
        <v>Nov</v>
      </c>
    </row>
    <row r="213" spans="1:20" x14ac:dyDescent="0.3">
      <c r="A213" s="9">
        <v>45615</v>
      </c>
      <c r="B213" s="3">
        <v>3212</v>
      </c>
      <c r="C213" s="3">
        <v>1018</v>
      </c>
      <c r="D213" s="3">
        <v>2040</v>
      </c>
      <c r="E213" s="3">
        <v>8</v>
      </c>
      <c r="F213" s="3">
        <f>VLOOKUP(Sheet1!$D213,Customers!$A$1:$D$51,2,TRUE)</f>
        <v>40</v>
      </c>
      <c r="G213" s="3" t="str">
        <f>VLOOKUP(Sheet1!$D213,Customers!$A$1:$D$51,3,TRUE)</f>
        <v>Male</v>
      </c>
      <c r="H213" s="3" t="str">
        <f>VLOOKUP(Sheet1!$D213,Customers!$A$1:$D$51,4,TRUE)</f>
        <v>Hyderabad</v>
      </c>
      <c r="I213" s="3" t="str">
        <f>VLOOKUP($C213,Products!$A$1:$E$21,2,TRUE)</f>
        <v>Resistance Band</v>
      </c>
      <c r="J213" s="3" t="str">
        <f>VLOOKUP($C213,Products!$A$1:$E$21,3,TRUE)</f>
        <v>Fitness</v>
      </c>
      <c r="K213" s="4">
        <f>VLOOKUP($C213,Products!$A$1:$E$21,4,TRUE)</f>
        <v>310</v>
      </c>
      <c r="L213" s="4">
        <f>VLOOKUP($C213,Products!$A$1:$E$21,5,TRUE)</f>
        <v>480</v>
      </c>
      <c r="M213" s="4">
        <f t="shared" si="24"/>
        <v>2480</v>
      </c>
      <c r="N213" s="4">
        <f t="shared" si="25"/>
        <v>3840</v>
      </c>
      <c r="O213" s="4">
        <f t="shared" si="26"/>
        <v>1360</v>
      </c>
      <c r="P213" s="5">
        <f t="shared" si="27"/>
        <v>0.35416666666666669</v>
      </c>
      <c r="Q213" s="3" t="str">
        <f t="shared" si="28"/>
        <v>High_order</v>
      </c>
      <c r="R213" s="3" t="str">
        <f t="shared" si="29"/>
        <v>Middle_age</v>
      </c>
      <c r="S213" s="11" t="str">
        <f t="shared" si="30"/>
        <v>Medium_profit</v>
      </c>
      <c r="T213" s="13" t="str">
        <f t="shared" si="31"/>
        <v>Nov</v>
      </c>
    </row>
    <row r="214" spans="1:20" x14ac:dyDescent="0.3">
      <c r="A214" s="9">
        <v>45294</v>
      </c>
      <c r="B214" s="3">
        <v>3213</v>
      </c>
      <c r="C214" s="3">
        <v>1007</v>
      </c>
      <c r="D214" s="3">
        <v>2019</v>
      </c>
      <c r="E214" s="3">
        <v>10</v>
      </c>
      <c r="F214" s="3">
        <f>VLOOKUP(Sheet1!$D214,Customers!$A$1:$D$51,2,TRUE)</f>
        <v>57</v>
      </c>
      <c r="G214" s="3" t="str">
        <f>VLOOKUP(Sheet1!$D214,Customers!$A$1:$D$51,3,TRUE)</f>
        <v>Male</v>
      </c>
      <c r="H214" s="3" t="str">
        <f>VLOOKUP(Sheet1!$D214,Customers!$A$1:$D$51,4,TRUE)</f>
        <v>Chandigarh</v>
      </c>
      <c r="I214" s="3" t="str">
        <f>VLOOKUP($C214,Products!$A$1:$E$21,2,TRUE)</f>
        <v>Charger</v>
      </c>
      <c r="J214" s="3" t="str">
        <f>VLOOKUP($C214,Products!$A$1:$E$21,3,TRUE)</f>
        <v>Accessories</v>
      </c>
      <c r="K214" s="4">
        <f>VLOOKUP($C214,Products!$A$1:$E$21,4,TRUE)</f>
        <v>160</v>
      </c>
      <c r="L214" s="4">
        <f>VLOOKUP($C214,Products!$A$1:$E$21,5,TRUE)</f>
        <v>230</v>
      </c>
      <c r="M214" s="4">
        <f t="shared" si="24"/>
        <v>1600</v>
      </c>
      <c r="N214" s="4">
        <f t="shared" si="25"/>
        <v>2300</v>
      </c>
      <c r="O214" s="4">
        <f t="shared" si="26"/>
        <v>700</v>
      </c>
      <c r="P214" s="5">
        <f t="shared" si="27"/>
        <v>0.30434782608695654</v>
      </c>
      <c r="Q214" s="3" t="str">
        <f t="shared" si="28"/>
        <v>Medium_order</v>
      </c>
      <c r="R214" s="3" t="str">
        <f t="shared" si="29"/>
        <v>Senior</v>
      </c>
      <c r="S214" s="11" t="str">
        <f t="shared" si="30"/>
        <v>Low_profit</v>
      </c>
      <c r="T214" s="13" t="str">
        <f t="shared" si="31"/>
        <v>Jan</v>
      </c>
    </row>
    <row r="215" spans="1:20" x14ac:dyDescent="0.3">
      <c r="A215" s="9">
        <v>45487</v>
      </c>
      <c r="B215" s="3">
        <v>3214</v>
      </c>
      <c r="C215" s="3">
        <v>1005</v>
      </c>
      <c r="D215" s="3">
        <v>2035</v>
      </c>
      <c r="E215" s="3">
        <v>7</v>
      </c>
      <c r="F215" s="3">
        <f>VLOOKUP(Sheet1!$D215,Customers!$A$1:$D$51,2,TRUE)</f>
        <v>37</v>
      </c>
      <c r="G215" s="3" t="str">
        <f>VLOOKUP(Sheet1!$D215,Customers!$A$1:$D$51,3,TRUE)</f>
        <v>Female</v>
      </c>
      <c r="H215" s="3" t="str">
        <f>VLOOKUP(Sheet1!$D215,Customers!$A$1:$D$51,4,TRUE)</f>
        <v>Delhi</v>
      </c>
      <c r="I215" s="3" t="str">
        <f>VLOOKUP($C215,Products!$A$1:$E$21,2,TRUE)</f>
        <v>Webcam</v>
      </c>
      <c r="J215" s="3" t="str">
        <f>VLOOKUP($C215,Products!$A$1:$E$21,3,TRUE)</f>
        <v>Electronics</v>
      </c>
      <c r="K215" s="4">
        <f>VLOOKUP($C215,Products!$A$1:$E$21,4,TRUE)</f>
        <v>340</v>
      </c>
      <c r="L215" s="4">
        <f>VLOOKUP($C215,Products!$A$1:$E$21,5,TRUE)</f>
        <v>520</v>
      </c>
      <c r="M215" s="4">
        <f t="shared" si="24"/>
        <v>2380</v>
      </c>
      <c r="N215" s="4">
        <f t="shared" si="25"/>
        <v>3640</v>
      </c>
      <c r="O215" s="4">
        <f t="shared" si="26"/>
        <v>1260</v>
      </c>
      <c r="P215" s="5">
        <f t="shared" si="27"/>
        <v>0.34615384615384615</v>
      </c>
      <c r="Q215" s="3" t="str">
        <f t="shared" si="28"/>
        <v>High_order</v>
      </c>
      <c r="R215" s="3" t="str">
        <f t="shared" si="29"/>
        <v>Middle_age</v>
      </c>
      <c r="S215" s="11" t="str">
        <f t="shared" si="30"/>
        <v>Medium_profit</v>
      </c>
      <c r="T215" s="13" t="str">
        <f t="shared" si="31"/>
        <v>Jul</v>
      </c>
    </row>
    <row r="216" spans="1:20" x14ac:dyDescent="0.3">
      <c r="A216" s="9">
        <v>45303</v>
      </c>
      <c r="B216" s="3">
        <v>3215</v>
      </c>
      <c r="C216" s="3">
        <v>1005</v>
      </c>
      <c r="D216" s="3">
        <v>2010</v>
      </c>
      <c r="E216" s="3">
        <v>2</v>
      </c>
      <c r="F216" s="3">
        <f>VLOOKUP(Sheet1!$D216,Customers!$A$1:$D$51,2,TRUE)</f>
        <v>38</v>
      </c>
      <c r="G216" s="3" t="str">
        <f>VLOOKUP(Sheet1!$D216,Customers!$A$1:$D$51,3,TRUE)</f>
        <v>Female</v>
      </c>
      <c r="H216" s="3" t="str">
        <f>VLOOKUP(Sheet1!$D216,Customers!$A$1:$D$51,4,TRUE)</f>
        <v>Mumbai</v>
      </c>
      <c r="I216" s="3" t="str">
        <f>VLOOKUP($C216,Products!$A$1:$E$21,2,TRUE)</f>
        <v>Webcam</v>
      </c>
      <c r="J216" s="3" t="str">
        <f>VLOOKUP($C216,Products!$A$1:$E$21,3,TRUE)</f>
        <v>Electronics</v>
      </c>
      <c r="K216" s="4">
        <f>VLOOKUP($C216,Products!$A$1:$E$21,4,TRUE)</f>
        <v>340</v>
      </c>
      <c r="L216" s="4">
        <f>VLOOKUP($C216,Products!$A$1:$E$21,5,TRUE)</f>
        <v>520</v>
      </c>
      <c r="M216" s="4">
        <f t="shared" si="24"/>
        <v>680</v>
      </c>
      <c r="N216" s="4">
        <f t="shared" si="25"/>
        <v>1040</v>
      </c>
      <c r="O216" s="4">
        <f t="shared" si="26"/>
        <v>360</v>
      </c>
      <c r="P216" s="5">
        <f t="shared" si="27"/>
        <v>0.34615384615384615</v>
      </c>
      <c r="Q216" s="3" t="str">
        <f t="shared" si="28"/>
        <v>Low_order</v>
      </c>
      <c r="R216" s="3" t="str">
        <f t="shared" si="29"/>
        <v>Middle_age</v>
      </c>
      <c r="S216" s="11" t="str">
        <f t="shared" si="30"/>
        <v>Medium_profit</v>
      </c>
      <c r="T216" s="13" t="str">
        <f t="shared" si="31"/>
        <v>Jan</v>
      </c>
    </row>
    <row r="217" spans="1:20" x14ac:dyDescent="0.3">
      <c r="A217" s="9">
        <v>45485</v>
      </c>
      <c r="B217" s="3">
        <v>3216</v>
      </c>
      <c r="C217" s="3">
        <v>1003</v>
      </c>
      <c r="D217" s="3">
        <v>2036</v>
      </c>
      <c r="E217" s="3">
        <v>9</v>
      </c>
      <c r="F217" s="3">
        <f>VLOOKUP(Sheet1!$D217,Customers!$A$1:$D$51,2,TRUE)</f>
        <v>30</v>
      </c>
      <c r="G217" s="3" t="str">
        <f>VLOOKUP(Sheet1!$D217,Customers!$A$1:$D$51,3,TRUE)</f>
        <v>Male</v>
      </c>
      <c r="H217" s="3" t="str">
        <f>VLOOKUP(Sheet1!$D217,Customers!$A$1:$D$51,4,TRUE)</f>
        <v>Delhi</v>
      </c>
      <c r="I217" s="3" t="str">
        <f>VLOOKUP($C217,Products!$A$1:$E$21,2,TRUE)</f>
        <v>Mouse</v>
      </c>
      <c r="J217" s="3" t="str">
        <f>VLOOKUP($C217,Products!$A$1:$E$21,3,TRUE)</f>
        <v>Electronics</v>
      </c>
      <c r="K217" s="4">
        <f>VLOOKUP($C217,Products!$A$1:$E$21,4,TRUE)</f>
        <v>140</v>
      </c>
      <c r="L217" s="4">
        <f>VLOOKUP($C217,Products!$A$1:$E$21,5,TRUE)</f>
        <v>350</v>
      </c>
      <c r="M217" s="4">
        <f t="shared" si="24"/>
        <v>1260</v>
      </c>
      <c r="N217" s="4">
        <f t="shared" si="25"/>
        <v>3150</v>
      </c>
      <c r="O217" s="4">
        <f t="shared" si="26"/>
        <v>1890</v>
      </c>
      <c r="P217" s="5">
        <f t="shared" si="27"/>
        <v>0.6</v>
      </c>
      <c r="Q217" s="3" t="str">
        <f t="shared" si="28"/>
        <v>High_order</v>
      </c>
      <c r="R217" s="3" t="str">
        <f t="shared" si="29"/>
        <v>Young</v>
      </c>
      <c r="S217" s="11" t="str">
        <f t="shared" si="30"/>
        <v>High_profit</v>
      </c>
      <c r="T217" s="13" t="str">
        <f t="shared" si="31"/>
        <v>Jul</v>
      </c>
    </row>
    <row r="218" spans="1:20" x14ac:dyDescent="0.3">
      <c r="A218" s="9">
        <v>45332</v>
      </c>
      <c r="B218" s="3">
        <v>3217</v>
      </c>
      <c r="C218" s="3">
        <v>1011</v>
      </c>
      <c r="D218" s="3">
        <v>2042</v>
      </c>
      <c r="E218" s="3">
        <v>3</v>
      </c>
      <c r="F218" s="3">
        <f>VLOOKUP(Sheet1!$D218,Customers!$A$1:$D$51,2,TRUE)</f>
        <v>18</v>
      </c>
      <c r="G218" s="3" t="str">
        <f>VLOOKUP(Sheet1!$D218,Customers!$A$1:$D$51,3,TRUE)</f>
        <v>Female</v>
      </c>
      <c r="H218" s="3" t="str">
        <f>VLOOKUP(Sheet1!$D218,Customers!$A$1:$D$51,4,TRUE)</f>
        <v>Bangalore</v>
      </c>
      <c r="I218" s="3" t="str">
        <f>VLOOKUP($C218,Products!$A$1:$E$21,2,TRUE)</f>
        <v>Notebook</v>
      </c>
      <c r="J218" s="3" t="str">
        <f>VLOOKUP($C218,Products!$A$1:$E$21,3,TRUE)</f>
        <v>Office</v>
      </c>
      <c r="K218" s="4">
        <f>VLOOKUP($C218,Products!$A$1:$E$21,4,TRUE)</f>
        <v>120</v>
      </c>
      <c r="L218" s="4">
        <f>VLOOKUP($C218,Products!$A$1:$E$21,5,TRUE)</f>
        <v>180</v>
      </c>
      <c r="M218" s="4">
        <f t="shared" si="24"/>
        <v>360</v>
      </c>
      <c r="N218" s="4">
        <f t="shared" si="25"/>
        <v>540</v>
      </c>
      <c r="O218" s="4">
        <f t="shared" si="26"/>
        <v>180</v>
      </c>
      <c r="P218" s="5">
        <f t="shared" si="27"/>
        <v>0.33333333333333331</v>
      </c>
      <c r="Q218" s="3" t="str">
        <f t="shared" si="28"/>
        <v>Low_order</v>
      </c>
      <c r="R218" s="3" t="str">
        <f t="shared" si="29"/>
        <v>Young</v>
      </c>
      <c r="S218" s="11" t="str">
        <f t="shared" si="30"/>
        <v>Medium_profit</v>
      </c>
      <c r="T218" s="13" t="str">
        <f t="shared" si="31"/>
        <v>Feb</v>
      </c>
    </row>
    <row r="219" spans="1:20" x14ac:dyDescent="0.3">
      <c r="A219" s="9">
        <v>45396</v>
      </c>
      <c r="B219" s="3">
        <v>3218</v>
      </c>
      <c r="C219" s="3">
        <v>1014</v>
      </c>
      <c r="D219" s="3">
        <v>2040</v>
      </c>
      <c r="E219" s="3">
        <v>3</v>
      </c>
      <c r="F219" s="3">
        <f>VLOOKUP(Sheet1!$D219,Customers!$A$1:$D$51,2,TRUE)</f>
        <v>40</v>
      </c>
      <c r="G219" s="3" t="str">
        <f>VLOOKUP(Sheet1!$D219,Customers!$A$1:$D$51,3,TRUE)</f>
        <v>Male</v>
      </c>
      <c r="H219" s="3" t="str">
        <f>VLOOKUP(Sheet1!$D219,Customers!$A$1:$D$51,4,TRUE)</f>
        <v>Hyderabad</v>
      </c>
      <c r="I219" s="3" t="str">
        <f>VLOOKUP($C219,Products!$A$1:$E$21,2,TRUE)</f>
        <v>Stapler</v>
      </c>
      <c r="J219" s="3" t="str">
        <f>VLOOKUP($C219,Products!$A$1:$E$21,3,TRUE)</f>
        <v>Office</v>
      </c>
      <c r="K219" s="4">
        <f>VLOOKUP($C219,Products!$A$1:$E$21,4,TRUE)</f>
        <v>170</v>
      </c>
      <c r="L219" s="4">
        <f>VLOOKUP($C219,Products!$A$1:$E$21,5,TRUE)</f>
        <v>280</v>
      </c>
      <c r="M219" s="4">
        <f t="shared" si="24"/>
        <v>510</v>
      </c>
      <c r="N219" s="4">
        <f t="shared" si="25"/>
        <v>840</v>
      </c>
      <c r="O219" s="4">
        <f t="shared" si="26"/>
        <v>330</v>
      </c>
      <c r="P219" s="5">
        <f t="shared" si="27"/>
        <v>0.39285714285714285</v>
      </c>
      <c r="Q219" s="3" t="str">
        <f t="shared" si="28"/>
        <v>Low_order</v>
      </c>
      <c r="R219" s="3" t="str">
        <f t="shared" si="29"/>
        <v>Middle_age</v>
      </c>
      <c r="S219" s="11" t="str">
        <f t="shared" si="30"/>
        <v>Medium_profit</v>
      </c>
      <c r="T219" s="13" t="str">
        <f t="shared" si="31"/>
        <v>Apr</v>
      </c>
    </row>
    <row r="220" spans="1:20" x14ac:dyDescent="0.3">
      <c r="A220" s="9">
        <v>45375</v>
      </c>
      <c r="B220" s="3">
        <v>3219</v>
      </c>
      <c r="C220" s="3">
        <v>1001</v>
      </c>
      <c r="D220" s="3">
        <v>2010</v>
      </c>
      <c r="E220" s="3">
        <v>4</v>
      </c>
      <c r="F220" s="3">
        <f>VLOOKUP(Sheet1!$D220,Customers!$A$1:$D$51,2,TRUE)</f>
        <v>38</v>
      </c>
      <c r="G220" s="3" t="str">
        <f>VLOOKUP(Sheet1!$D220,Customers!$A$1:$D$51,3,TRUE)</f>
        <v>Female</v>
      </c>
      <c r="H220" s="3" t="str">
        <f>VLOOKUP(Sheet1!$D220,Customers!$A$1:$D$51,4,TRUE)</f>
        <v>Mumbai</v>
      </c>
      <c r="I220" s="3" t="str">
        <f>VLOOKUP($C220,Products!$A$1:$E$21,2,TRUE)</f>
        <v>Headphones</v>
      </c>
      <c r="J220" s="3" t="str">
        <f>VLOOKUP($C220,Products!$A$1:$E$21,3,TRUE)</f>
        <v>Electronics</v>
      </c>
      <c r="K220" s="4">
        <f>VLOOKUP($C220,Products!$A$1:$E$21,4,TRUE)</f>
        <v>380</v>
      </c>
      <c r="L220" s="4">
        <f>VLOOKUP($C220,Products!$A$1:$E$21,5,TRUE)</f>
        <v>550</v>
      </c>
      <c r="M220" s="4">
        <f t="shared" si="24"/>
        <v>1520</v>
      </c>
      <c r="N220" s="4">
        <f t="shared" si="25"/>
        <v>2200</v>
      </c>
      <c r="O220" s="4">
        <f t="shared" si="26"/>
        <v>680</v>
      </c>
      <c r="P220" s="5">
        <f t="shared" si="27"/>
        <v>0.30909090909090908</v>
      </c>
      <c r="Q220" s="3" t="str">
        <f t="shared" si="28"/>
        <v>Medium_order</v>
      </c>
      <c r="R220" s="3" t="str">
        <f t="shared" si="29"/>
        <v>Middle_age</v>
      </c>
      <c r="S220" s="11" t="str">
        <f t="shared" si="30"/>
        <v>Low_profit</v>
      </c>
      <c r="T220" s="13" t="str">
        <f t="shared" si="31"/>
        <v>Mar</v>
      </c>
    </row>
    <row r="221" spans="1:20" x14ac:dyDescent="0.3">
      <c r="A221" s="9">
        <v>45395</v>
      </c>
      <c r="B221" s="3">
        <v>3220</v>
      </c>
      <c r="C221" s="3">
        <v>1013</v>
      </c>
      <c r="D221" s="3">
        <v>2005</v>
      </c>
      <c r="E221" s="3">
        <v>10</v>
      </c>
      <c r="F221" s="3">
        <f>VLOOKUP(Sheet1!$D221,Customers!$A$1:$D$51,2,TRUE)</f>
        <v>56</v>
      </c>
      <c r="G221" s="3" t="str">
        <f>VLOOKUP(Sheet1!$D221,Customers!$A$1:$D$51,3,TRUE)</f>
        <v>Female</v>
      </c>
      <c r="H221" s="3" t="str">
        <f>VLOOKUP(Sheet1!$D221,Customers!$A$1:$D$51,4,TRUE)</f>
        <v>Hyderabad</v>
      </c>
      <c r="I221" s="3" t="str">
        <f>VLOOKUP($C221,Products!$A$1:$E$21,2,TRUE)</f>
        <v>Desk Lamp</v>
      </c>
      <c r="J221" s="3" t="str">
        <f>VLOOKUP($C221,Products!$A$1:$E$21,3,TRUE)</f>
        <v>Office</v>
      </c>
      <c r="K221" s="4">
        <f>VLOOKUP($C221,Products!$A$1:$E$21,4,TRUE)</f>
        <v>140</v>
      </c>
      <c r="L221" s="4">
        <f>VLOOKUP($C221,Products!$A$1:$E$21,5,TRUE)</f>
        <v>390</v>
      </c>
      <c r="M221" s="4">
        <f t="shared" si="24"/>
        <v>1400</v>
      </c>
      <c r="N221" s="4">
        <f t="shared" si="25"/>
        <v>3900</v>
      </c>
      <c r="O221" s="4">
        <f t="shared" si="26"/>
        <v>2500</v>
      </c>
      <c r="P221" s="5">
        <f t="shared" si="27"/>
        <v>0.64102564102564108</v>
      </c>
      <c r="Q221" s="3" t="str">
        <f t="shared" si="28"/>
        <v>High_order</v>
      </c>
      <c r="R221" s="3" t="str">
        <f t="shared" si="29"/>
        <v>Senior</v>
      </c>
      <c r="S221" s="11" t="str">
        <f t="shared" si="30"/>
        <v>High_profit</v>
      </c>
      <c r="T221" s="13" t="str">
        <f t="shared" si="31"/>
        <v>Apr</v>
      </c>
    </row>
    <row r="222" spans="1:20" x14ac:dyDescent="0.3">
      <c r="A222" s="9">
        <v>45479</v>
      </c>
      <c r="B222" s="3">
        <v>3221</v>
      </c>
      <c r="C222" s="3">
        <v>1013</v>
      </c>
      <c r="D222" s="3">
        <v>2022</v>
      </c>
      <c r="E222" s="3">
        <v>8</v>
      </c>
      <c r="F222" s="3">
        <f>VLOOKUP(Sheet1!$D222,Customers!$A$1:$D$51,2,TRUE)</f>
        <v>19</v>
      </c>
      <c r="G222" s="3" t="str">
        <f>VLOOKUP(Sheet1!$D222,Customers!$A$1:$D$51,3,TRUE)</f>
        <v>Male</v>
      </c>
      <c r="H222" s="3" t="str">
        <f>VLOOKUP(Sheet1!$D222,Customers!$A$1:$D$51,4,TRUE)</f>
        <v>Pune</v>
      </c>
      <c r="I222" s="3" t="str">
        <f>VLOOKUP($C222,Products!$A$1:$E$21,2,TRUE)</f>
        <v>Desk Lamp</v>
      </c>
      <c r="J222" s="3" t="str">
        <f>VLOOKUP($C222,Products!$A$1:$E$21,3,TRUE)</f>
        <v>Office</v>
      </c>
      <c r="K222" s="4">
        <f>VLOOKUP($C222,Products!$A$1:$E$21,4,TRUE)</f>
        <v>140</v>
      </c>
      <c r="L222" s="4">
        <f>VLOOKUP($C222,Products!$A$1:$E$21,5,TRUE)</f>
        <v>390</v>
      </c>
      <c r="M222" s="4">
        <f t="shared" si="24"/>
        <v>1120</v>
      </c>
      <c r="N222" s="4">
        <f t="shared" si="25"/>
        <v>3120</v>
      </c>
      <c r="O222" s="4">
        <f t="shared" si="26"/>
        <v>2000</v>
      </c>
      <c r="P222" s="5">
        <f t="shared" si="27"/>
        <v>0.64102564102564108</v>
      </c>
      <c r="Q222" s="3" t="str">
        <f t="shared" si="28"/>
        <v>High_order</v>
      </c>
      <c r="R222" s="3" t="str">
        <f t="shared" si="29"/>
        <v>Young</v>
      </c>
      <c r="S222" s="11" t="str">
        <f t="shared" si="30"/>
        <v>High_profit</v>
      </c>
      <c r="T222" s="13" t="str">
        <f t="shared" si="31"/>
        <v>Jul</v>
      </c>
    </row>
    <row r="223" spans="1:20" x14ac:dyDescent="0.3">
      <c r="A223" s="9">
        <v>45422</v>
      </c>
      <c r="B223" s="3">
        <v>3222</v>
      </c>
      <c r="C223" s="3">
        <v>1009</v>
      </c>
      <c r="D223" s="3">
        <v>2010</v>
      </c>
      <c r="E223" s="3">
        <v>2</v>
      </c>
      <c r="F223" s="3">
        <f>VLOOKUP(Sheet1!$D223,Customers!$A$1:$D$51,2,TRUE)</f>
        <v>38</v>
      </c>
      <c r="G223" s="3" t="str">
        <f>VLOOKUP(Sheet1!$D223,Customers!$A$1:$D$51,3,TRUE)</f>
        <v>Female</v>
      </c>
      <c r="H223" s="3" t="str">
        <f>VLOOKUP(Sheet1!$D223,Customers!$A$1:$D$51,4,TRUE)</f>
        <v>Mumbai</v>
      </c>
      <c r="I223" s="3" t="str">
        <f>VLOOKUP($C223,Products!$A$1:$E$21,2,TRUE)</f>
        <v>Power Bank</v>
      </c>
      <c r="J223" s="3" t="str">
        <f>VLOOKUP($C223,Products!$A$1:$E$21,3,TRUE)</f>
        <v>Accessories</v>
      </c>
      <c r="K223" s="4">
        <f>VLOOKUP($C223,Products!$A$1:$E$21,4,TRUE)</f>
        <v>50</v>
      </c>
      <c r="L223" s="4">
        <f>VLOOKUP($C223,Products!$A$1:$E$21,5,TRUE)</f>
        <v>220</v>
      </c>
      <c r="M223" s="4">
        <f t="shared" si="24"/>
        <v>100</v>
      </c>
      <c r="N223" s="4">
        <f t="shared" si="25"/>
        <v>440</v>
      </c>
      <c r="O223" s="4">
        <f t="shared" si="26"/>
        <v>340</v>
      </c>
      <c r="P223" s="5">
        <f t="shared" si="27"/>
        <v>0.77272727272727271</v>
      </c>
      <c r="Q223" s="3" t="str">
        <f t="shared" si="28"/>
        <v>Low_order</v>
      </c>
      <c r="R223" s="3" t="str">
        <f t="shared" si="29"/>
        <v>Middle_age</v>
      </c>
      <c r="S223" s="11" t="str">
        <f t="shared" si="30"/>
        <v>High_profit</v>
      </c>
      <c r="T223" s="13" t="str">
        <f t="shared" si="31"/>
        <v>May</v>
      </c>
    </row>
    <row r="224" spans="1:20" x14ac:dyDescent="0.3">
      <c r="A224" s="9">
        <v>45615</v>
      </c>
      <c r="B224" s="3">
        <v>3223</v>
      </c>
      <c r="C224" s="3">
        <v>1009</v>
      </c>
      <c r="D224" s="3">
        <v>2045</v>
      </c>
      <c r="E224" s="3">
        <v>7</v>
      </c>
      <c r="F224" s="3">
        <f>VLOOKUP(Sheet1!$D224,Customers!$A$1:$D$51,2,TRUE)</f>
        <v>36</v>
      </c>
      <c r="G224" s="3" t="str">
        <f>VLOOKUP(Sheet1!$D224,Customers!$A$1:$D$51,3,TRUE)</f>
        <v>Male</v>
      </c>
      <c r="H224" s="3" t="str">
        <f>VLOOKUP(Sheet1!$D224,Customers!$A$1:$D$51,4,TRUE)</f>
        <v>Delhi</v>
      </c>
      <c r="I224" s="3" t="str">
        <f>VLOOKUP($C224,Products!$A$1:$E$21,2,TRUE)</f>
        <v>Power Bank</v>
      </c>
      <c r="J224" s="3" t="str">
        <f>VLOOKUP($C224,Products!$A$1:$E$21,3,TRUE)</f>
        <v>Accessories</v>
      </c>
      <c r="K224" s="4">
        <f>VLOOKUP($C224,Products!$A$1:$E$21,4,TRUE)</f>
        <v>50</v>
      </c>
      <c r="L224" s="4">
        <f>VLOOKUP($C224,Products!$A$1:$E$21,5,TRUE)</f>
        <v>220</v>
      </c>
      <c r="M224" s="4">
        <f t="shared" si="24"/>
        <v>350</v>
      </c>
      <c r="N224" s="4">
        <f t="shared" si="25"/>
        <v>1540</v>
      </c>
      <c r="O224" s="4">
        <f t="shared" si="26"/>
        <v>1190</v>
      </c>
      <c r="P224" s="5">
        <f t="shared" si="27"/>
        <v>0.77272727272727271</v>
      </c>
      <c r="Q224" s="3" t="str">
        <f t="shared" si="28"/>
        <v>Medium_order</v>
      </c>
      <c r="R224" s="3" t="str">
        <f t="shared" si="29"/>
        <v>Middle_age</v>
      </c>
      <c r="S224" s="11" t="str">
        <f t="shared" si="30"/>
        <v>High_profit</v>
      </c>
      <c r="T224" s="13" t="str">
        <f t="shared" si="31"/>
        <v>Nov</v>
      </c>
    </row>
    <row r="225" spans="1:20" x14ac:dyDescent="0.3">
      <c r="A225" s="9">
        <v>45627</v>
      </c>
      <c r="B225" s="3">
        <v>3224</v>
      </c>
      <c r="C225" s="3">
        <v>1017</v>
      </c>
      <c r="D225" s="3">
        <v>2021</v>
      </c>
      <c r="E225" s="3">
        <v>8</v>
      </c>
      <c r="F225" s="3">
        <f>VLOOKUP(Sheet1!$D225,Customers!$A$1:$D$51,2,TRUE)</f>
        <v>28</v>
      </c>
      <c r="G225" s="3" t="str">
        <f>VLOOKUP(Sheet1!$D225,Customers!$A$1:$D$51,3,TRUE)</f>
        <v>Male</v>
      </c>
      <c r="H225" s="3" t="str">
        <f>VLOOKUP(Sheet1!$D225,Customers!$A$1:$D$51,4,TRUE)</f>
        <v>Delhi</v>
      </c>
      <c r="I225" s="3" t="str">
        <f>VLOOKUP($C225,Products!$A$1:$E$21,2,TRUE)</f>
        <v>Dumbbells</v>
      </c>
      <c r="J225" s="3" t="str">
        <f>VLOOKUP($C225,Products!$A$1:$E$21,3,TRUE)</f>
        <v>Fitness</v>
      </c>
      <c r="K225" s="4">
        <f>VLOOKUP($C225,Products!$A$1:$E$21,4,TRUE)</f>
        <v>120</v>
      </c>
      <c r="L225" s="4">
        <f>VLOOKUP($C225,Products!$A$1:$E$21,5,TRUE)</f>
        <v>200</v>
      </c>
      <c r="M225" s="4">
        <f t="shared" si="24"/>
        <v>960</v>
      </c>
      <c r="N225" s="4">
        <f t="shared" si="25"/>
        <v>1600</v>
      </c>
      <c r="O225" s="4">
        <f t="shared" si="26"/>
        <v>640</v>
      </c>
      <c r="P225" s="5">
        <f t="shared" si="27"/>
        <v>0.4</v>
      </c>
      <c r="Q225" s="3" t="str">
        <f t="shared" si="28"/>
        <v>Medium_order</v>
      </c>
      <c r="R225" s="3" t="str">
        <f t="shared" si="29"/>
        <v>Young</v>
      </c>
      <c r="S225" s="11" t="str">
        <f t="shared" si="30"/>
        <v>Medium_profit</v>
      </c>
      <c r="T225" s="13" t="str">
        <f t="shared" si="31"/>
        <v>Dec</v>
      </c>
    </row>
    <row r="226" spans="1:20" x14ac:dyDescent="0.3">
      <c r="A226" s="9">
        <v>45602</v>
      </c>
      <c r="B226" s="3">
        <v>3225</v>
      </c>
      <c r="C226" s="3">
        <v>1003</v>
      </c>
      <c r="D226" s="3">
        <v>2024</v>
      </c>
      <c r="E226" s="3">
        <v>3</v>
      </c>
      <c r="F226" s="3">
        <f>VLOOKUP(Sheet1!$D226,Customers!$A$1:$D$51,2,TRUE)</f>
        <v>26</v>
      </c>
      <c r="G226" s="3" t="str">
        <f>VLOOKUP(Sheet1!$D226,Customers!$A$1:$D$51,3,TRUE)</f>
        <v>Female</v>
      </c>
      <c r="H226" s="3" t="str">
        <f>VLOOKUP(Sheet1!$D226,Customers!$A$1:$D$51,4,TRUE)</f>
        <v>Delhi</v>
      </c>
      <c r="I226" s="3" t="str">
        <f>VLOOKUP($C226,Products!$A$1:$E$21,2,TRUE)</f>
        <v>Mouse</v>
      </c>
      <c r="J226" s="3" t="str">
        <f>VLOOKUP($C226,Products!$A$1:$E$21,3,TRUE)</f>
        <v>Electronics</v>
      </c>
      <c r="K226" s="4">
        <f>VLOOKUP($C226,Products!$A$1:$E$21,4,TRUE)</f>
        <v>140</v>
      </c>
      <c r="L226" s="4">
        <f>VLOOKUP($C226,Products!$A$1:$E$21,5,TRUE)</f>
        <v>350</v>
      </c>
      <c r="M226" s="4">
        <f t="shared" si="24"/>
        <v>420</v>
      </c>
      <c r="N226" s="4">
        <f t="shared" si="25"/>
        <v>1050</v>
      </c>
      <c r="O226" s="4">
        <f t="shared" si="26"/>
        <v>630</v>
      </c>
      <c r="P226" s="5">
        <f t="shared" si="27"/>
        <v>0.6</v>
      </c>
      <c r="Q226" s="3" t="str">
        <f t="shared" si="28"/>
        <v>Low_order</v>
      </c>
      <c r="R226" s="3" t="str">
        <f t="shared" si="29"/>
        <v>Young</v>
      </c>
      <c r="S226" s="11" t="str">
        <f t="shared" si="30"/>
        <v>High_profit</v>
      </c>
      <c r="T226" s="13" t="str">
        <f t="shared" si="31"/>
        <v>Nov</v>
      </c>
    </row>
    <row r="227" spans="1:20" x14ac:dyDescent="0.3">
      <c r="A227" s="9">
        <v>45408</v>
      </c>
      <c r="B227" s="3">
        <v>3226</v>
      </c>
      <c r="C227" s="3">
        <v>1017</v>
      </c>
      <c r="D227" s="3">
        <v>2041</v>
      </c>
      <c r="E227" s="3">
        <v>5</v>
      </c>
      <c r="F227" s="3">
        <f>VLOOKUP(Sheet1!$D227,Customers!$A$1:$D$51,2,TRUE)</f>
        <v>28</v>
      </c>
      <c r="G227" s="3" t="str">
        <f>VLOOKUP(Sheet1!$D227,Customers!$A$1:$D$51,3,TRUE)</f>
        <v>Male</v>
      </c>
      <c r="H227" s="3" t="str">
        <f>VLOOKUP(Sheet1!$D227,Customers!$A$1:$D$51,4,TRUE)</f>
        <v>Pune</v>
      </c>
      <c r="I227" s="3" t="str">
        <f>VLOOKUP($C227,Products!$A$1:$E$21,2,TRUE)</f>
        <v>Dumbbells</v>
      </c>
      <c r="J227" s="3" t="str">
        <f>VLOOKUP($C227,Products!$A$1:$E$21,3,TRUE)</f>
        <v>Fitness</v>
      </c>
      <c r="K227" s="4">
        <f>VLOOKUP($C227,Products!$A$1:$E$21,4,TRUE)</f>
        <v>120</v>
      </c>
      <c r="L227" s="4">
        <f>VLOOKUP($C227,Products!$A$1:$E$21,5,TRUE)</f>
        <v>200</v>
      </c>
      <c r="M227" s="4">
        <f t="shared" si="24"/>
        <v>600</v>
      </c>
      <c r="N227" s="4">
        <f t="shared" si="25"/>
        <v>1000</v>
      </c>
      <c r="O227" s="4">
        <f t="shared" si="26"/>
        <v>400</v>
      </c>
      <c r="P227" s="5">
        <f t="shared" si="27"/>
        <v>0.4</v>
      </c>
      <c r="Q227" s="3" t="str">
        <f t="shared" si="28"/>
        <v>Low_order</v>
      </c>
      <c r="R227" s="3" t="str">
        <f t="shared" si="29"/>
        <v>Young</v>
      </c>
      <c r="S227" s="11" t="str">
        <f t="shared" si="30"/>
        <v>Medium_profit</v>
      </c>
      <c r="T227" s="13" t="str">
        <f t="shared" si="31"/>
        <v>Apr</v>
      </c>
    </row>
    <row r="228" spans="1:20" x14ac:dyDescent="0.3">
      <c r="A228" s="9">
        <v>45622</v>
      </c>
      <c r="B228" s="3">
        <v>3227</v>
      </c>
      <c r="C228" s="3">
        <v>1008</v>
      </c>
      <c r="D228" s="3">
        <v>2038</v>
      </c>
      <c r="E228" s="3">
        <v>7</v>
      </c>
      <c r="F228" s="3">
        <f>VLOOKUP(Sheet1!$D228,Customers!$A$1:$D$51,2,TRUE)</f>
        <v>22</v>
      </c>
      <c r="G228" s="3" t="str">
        <f>VLOOKUP(Sheet1!$D228,Customers!$A$1:$D$51,3,TRUE)</f>
        <v>Male</v>
      </c>
      <c r="H228" s="3" t="str">
        <f>VLOOKUP(Sheet1!$D228,Customers!$A$1:$D$51,4,TRUE)</f>
        <v>Bangalore</v>
      </c>
      <c r="I228" s="3" t="str">
        <f>VLOOKUP($C228,Products!$A$1:$E$21,2,TRUE)</f>
        <v>USB Cable</v>
      </c>
      <c r="J228" s="3" t="str">
        <f>VLOOKUP($C228,Products!$A$1:$E$21,3,TRUE)</f>
        <v>Accessories</v>
      </c>
      <c r="K228" s="4">
        <f>VLOOKUP($C228,Products!$A$1:$E$21,4,TRUE)</f>
        <v>340</v>
      </c>
      <c r="L228" s="4">
        <f>VLOOKUP($C228,Products!$A$1:$E$21,5,TRUE)</f>
        <v>430</v>
      </c>
      <c r="M228" s="4">
        <f t="shared" si="24"/>
        <v>2380</v>
      </c>
      <c r="N228" s="4">
        <f t="shared" si="25"/>
        <v>3010</v>
      </c>
      <c r="O228" s="4">
        <f t="shared" si="26"/>
        <v>630</v>
      </c>
      <c r="P228" s="5">
        <f t="shared" si="27"/>
        <v>0.20930232558139536</v>
      </c>
      <c r="Q228" s="3" t="str">
        <f t="shared" si="28"/>
        <v>High_order</v>
      </c>
      <c r="R228" s="3" t="str">
        <f t="shared" si="29"/>
        <v>Young</v>
      </c>
      <c r="S228" s="11" t="str">
        <f t="shared" si="30"/>
        <v>Low_profit</v>
      </c>
      <c r="T228" s="13" t="str">
        <f t="shared" si="31"/>
        <v>Nov</v>
      </c>
    </row>
    <row r="229" spans="1:20" x14ac:dyDescent="0.3">
      <c r="A229" s="9">
        <v>45401</v>
      </c>
      <c r="B229" s="3">
        <v>3228</v>
      </c>
      <c r="C229" s="3">
        <v>1010</v>
      </c>
      <c r="D229" s="3">
        <v>2048</v>
      </c>
      <c r="E229" s="3">
        <v>9</v>
      </c>
      <c r="F229" s="3">
        <f>VLOOKUP(Sheet1!$D229,Customers!$A$1:$D$51,2,TRUE)</f>
        <v>41</v>
      </c>
      <c r="G229" s="3" t="str">
        <f>VLOOKUP(Sheet1!$D229,Customers!$A$1:$D$51,3,TRUE)</f>
        <v>Female</v>
      </c>
      <c r="H229" s="3" t="str">
        <f>VLOOKUP(Sheet1!$D229,Customers!$A$1:$D$51,4,TRUE)</f>
        <v>Mumbai</v>
      </c>
      <c r="I229" s="3" t="str">
        <f>VLOOKUP($C229,Products!$A$1:$E$21,2,TRUE)</f>
        <v>Laptop Sleeve</v>
      </c>
      <c r="J229" s="3" t="str">
        <f>VLOOKUP($C229,Products!$A$1:$E$21,3,TRUE)</f>
        <v>Accessories</v>
      </c>
      <c r="K229" s="4">
        <f>VLOOKUP($C229,Products!$A$1:$E$21,4,TRUE)</f>
        <v>290</v>
      </c>
      <c r="L229" s="4">
        <f>VLOOKUP($C229,Products!$A$1:$E$21,5,TRUE)</f>
        <v>470</v>
      </c>
      <c r="M229" s="4">
        <f t="shared" si="24"/>
        <v>2610</v>
      </c>
      <c r="N229" s="4">
        <f t="shared" si="25"/>
        <v>4230</v>
      </c>
      <c r="O229" s="4">
        <f t="shared" si="26"/>
        <v>1620</v>
      </c>
      <c r="P229" s="5">
        <f t="shared" si="27"/>
        <v>0.38297872340425532</v>
      </c>
      <c r="Q229" s="3" t="str">
        <f t="shared" si="28"/>
        <v>High_order</v>
      </c>
      <c r="R229" s="3" t="str">
        <f t="shared" si="29"/>
        <v>Senior</v>
      </c>
      <c r="S229" s="11" t="str">
        <f t="shared" si="30"/>
        <v>Medium_profit</v>
      </c>
      <c r="T229" s="13" t="str">
        <f t="shared" si="31"/>
        <v>Apr</v>
      </c>
    </row>
    <row r="230" spans="1:20" x14ac:dyDescent="0.3">
      <c r="A230" s="9">
        <v>45353</v>
      </c>
      <c r="B230" s="3">
        <v>3229</v>
      </c>
      <c r="C230" s="3">
        <v>1016</v>
      </c>
      <c r="D230" s="3">
        <v>2032</v>
      </c>
      <c r="E230" s="3">
        <v>9</v>
      </c>
      <c r="F230" s="3">
        <f>VLOOKUP(Sheet1!$D230,Customers!$A$1:$D$51,2,TRUE)</f>
        <v>42</v>
      </c>
      <c r="G230" s="3" t="str">
        <f>VLOOKUP(Sheet1!$D230,Customers!$A$1:$D$51,3,TRUE)</f>
        <v>Male</v>
      </c>
      <c r="H230" s="3" t="str">
        <f>VLOOKUP(Sheet1!$D230,Customers!$A$1:$D$51,4,TRUE)</f>
        <v>Hyderabad</v>
      </c>
      <c r="I230" s="3" t="str">
        <f>VLOOKUP($C230,Products!$A$1:$E$21,2,TRUE)</f>
        <v>Yoga Mat</v>
      </c>
      <c r="J230" s="3" t="str">
        <f>VLOOKUP($C230,Products!$A$1:$E$21,3,TRUE)</f>
        <v>Fitness</v>
      </c>
      <c r="K230" s="4">
        <f>VLOOKUP($C230,Products!$A$1:$E$21,4,TRUE)</f>
        <v>330</v>
      </c>
      <c r="L230" s="4">
        <f>VLOOKUP($C230,Products!$A$1:$E$21,5,TRUE)</f>
        <v>490</v>
      </c>
      <c r="M230" s="4">
        <f t="shared" si="24"/>
        <v>2970</v>
      </c>
      <c r="N230" s="4">
        <f t="shared" si="25"/>
        <v>4410</v>
      </c>
      <c r="O230" s="4">
        <f t="shared" si="26"/>
        <v>1440</v>
      </c>
      <c r="P230" s="5">
        <f t="shared" si="27"/>
        <v>0.32653061224489793</v>
      </c>
      <c r="Q230" s="3" t="str">
        <f t="shared" si="28"/>
        <v>High_order</v>
      </c>
      <c r="R230" s="3" t="str">
        <f t="shared" si="29"/>
        <v>Senior</v>
      </c>
      <c r="S230" s="11" t="str">
        <f t="shared" si="30"/>
        <v>Medium_profit</v>
      </c>
      <c r="T230" s="13" t="str">
        <f t="shared" si="31"/>
        <v>Mar</v>
      </c>
    </row>
    <row r="231" spans="1:20" x14ac:dyDescent="0.3">
      <c r="A231" s="9">
        <v>45574</v>
      </c>
      <c r="B231" s="3">
        <v>3230</v>
      </c>
      <c r="C231" s="3">
        <v>1008</v>
      </c>
      <c r="D231" s="3">
        <v>2018</v>
      </c>
      <c r="E231" s="3">
        <v>1</v>
      </c>
      <c r="F231" s="3">
        <f>VLOOKUP(Sheet1!$D231,Customers!$A$1:$D$51,2,TRUE)</f>
        <v>38</v>
      </c>
      <c r="G231" s="3" t="str">
        <f>VLOOKUP(Sheet1!$D231,Customers!$A$1:$D$51,3,TRUE)</f>
        <v>Female</v>
      </c>
      <c r="H231" s="3" t="str">
        <f>VLOOKUP(Sheet1!$D231,Customers!$A$1:$D$51,4,TRUE)</f>
        <v>Pune</v>
      </c>
      <c r="I231" s="3" t="str">
        <f>VLOOKUP($C231,Products!$A$1:$E$21,2,TRUE)</f>
        <v>USB Cable</v>
      </c>
      <c r="J231" s="3" t="str">
        <f>VLOOKUP($C231,Products!$A$1:$E$21,3,TRUE)</f>
        <v>Accessories</v>
      </c>
      <c r="K231" s="4">
        <f>VLOOKUP($C231,Products!$A$1:$E$21,4,TRUE)</f>
        <v>340</v>
      </c>
      <c r="L231" s="4">
        <f>VLOOKUP($C231,Products!$A$1:$E$21,5,TRUE)</f>
        <v>430</v>
      </c>
      <c r="M231" s="4">
        <f t="shared" si="24"/>
        <v>340</v>
      </c>
      <c r="N231" s="4">
        <f t="shared" si="25"/>
        <v>430</v>
      </c>
      <c r="O231" s="4">
        <f t="shared" si="26"/>
        <v>90</v>
      </c>
      <c r="P231" s="5">
        <f t="shared" si="27"/>
        <v>0.20930232558139536</v>
      </c>
      <c r="Q231" s="3" t="str">
        <f t="shared" si="28"/>
        <v>Low_order</v>
      </c>
      <c r="R231" s="3" t="str">
        <f t="shared" si="29"/>
        <v>Middle_age</v>
      </c>
      <c r="S231" s="11" t="str">
        <f t="shared" si="30"/>
        <v>Low_profit</v>
      </c>
      <c r="T231" s="13" t="str">
        <f t="shared" si="31"/>
        <v>Oct</v>
      </c>
    </row>
    <row r="232" spans="1:20" x14ac:dyDescent="0.3">
      <c r="A232" s="9">
        <v>45548</v>
      </c>
      <c r="B232" s="3">
        <v>3231</v>
      </c>
      <c r="C232" s="3">
        <v>1013</v>
      </c>
      <c r="D232" s="3">
        <v>2011</v>
      </c>
      <c r="E232" s="3">
        <v>8</v>
      </c>
      <c r="F232" s="3">
        <f>VLOOKUP(Sheet1!$D232,Customers!$A$1:$D$51,2,TRUE)</f>
        <v>33</v>
      </c>
      <c r="G232" s="3" t="str">
        <f>VLOOKUP(Sheet1!$D232,Customers!$A$1:$D$51,3,TRUE)</f>
        <v>Female</v>
      </c>
      <c r="H232" s="3" t="str">
        <f>VLOOKUP(Sheet1!$D232,Customers!$A$1:$D$51,4,TRUE)</f>
        <v>Chandigarh</v>
      </c>
      <c r="I232" s="3" t="str">
        <f>VLOOKUP($C232,Products!$A$1:$E$21,2,TRUE)</f>
        <v>Desk Lamp</v>
      </c>
      <c r="J232" s="3" t="str">
        <f>VLOOKUP($C232,Products!$A$1:$E$21,3,TRUE)</f>
        <v>Office</v>
      </c>
      <c r="K232" s="4">
        <f>VLOOKUP($C232,Products!$A$1:$E$21,4,TRUE)</f>
        <v>140</v>
      </c>
      <c r="L232" s="4">
        <f>VLOOKUP($C232,Products!$A$1:$E$21,5,TRUE)</f>
        <v>390</v>
      </c>
      <c r="M232" s="4">
        <f t="shared" si="24"/>
        <v>1120</v>
      </c>
      <c r="N232" s="4">
        <f t="shared" si="25"/>
        <v>3120</v>
      </c>
      <c r="O232" s="4">
        <f t="shared" si="26"/>
        <v>2000</v>
      </c>
      <c r="P232" s="5">
        <f t="shared" si="27"/>
        <v>0.64102564102564108</v>
      </c>
      <c r="Q232" s="3" t="str">
        <f t="shared" si="28"/>
        <v>High_order</v>
      </c>
      <c r="R232" s="3" t="str">
        <f t="shared" si="29"/>
        <v>Middle_age</v>
      </c>
      <c r="S232" s="11" t="str">
        <f t="shared" si="30"/>
        <v>High_profit</v>
      </c>
      <c r="T232" s="13" t="str">
        <f t="shared" si="31"/>
        <v>Sep</v>
      </c>
    </row>
    <row r="233" spans="1:20" x14ac:dyDescent="0.3">
      <c r="A233" s="9">
        <v>45650</v>
      </c>
      <c r="B233" s="3">
        <v>3232</v>
      </c>
      <c r="C233" s="3">
        <v>1015</v>
      </c>
      <c r="D233" s="3">
        <v>2024</v>
      </c>
      <c r="E233" s="3">
        <v>10</v>
      </c>
      <c r="F233" s="3">
        <f>VLOOKUP(Sheet1!$D233,Customers!$A$1:$D$51,2,TRUE)</f>
        <v>26</v>
      </c>
      <c r="G233" s="3" t="str">
        <f>VLOOKUP(Sheet1!$D233,Customers!$A$1:$D$51,3,TRUE)</f>
        <v>Female</v>
      </c>
      <c r="H233" s="3" t="str">
        <f>VLOOKUP(Sheet1!$D233,Customers!$A$1:$D$51,4,TRUE)</f>
        <v>Delhi</v>
      </c>
      <c r="I233" s="3" t="str">
        <f>VLOOKUP($C233,Products!$A$1:$E$21,2,TRUE)</f>
        <v>Organizer</v>
      </c>
      <c r="J233" s="3" t="str">
        <f>VLOOKUP($C233,Products!$A$1:$E$21,3,TRUE)</f>
        <v>Office</v>
      </c>
      <c r="K233" s="4">
        <f>VLOOKUP($C233,Products!$A$1:$E$21,4,TRUE)</f>
        <v>70</v>
      </c>
      <c r="L233" s="4">
        <f>VLOOKUP($C233,Products!$A$1:$E$21,5,TRUE)</f>
        <v>210</v>
      </c>
      <c r="M233" s="4">
        <f t="shared" si="24"/>
        <v>700</v>
      </c>
      <c r="N233" s="4">
        <f t="shared" si="25"/>
        <v>2100</v>
      </c>
      <c r="O233" s="4">
        <f t="shared" si="26"/>
        <v>1400</v>
      </c>
      <c r="P233" s="5">
        <f t="shared" si="27"/>
        <v>0.66666666666666663</v>
      </c>
      <c r="Q233" s="3" t="str">
        <f t="shared" si="28"/>
        <v>Medium_order</v>
      </c>
      <c r="R233" s="3" t="str">
        <f t="shared" si="29"/>
        <v>Young</v>
      </c>
      <c r="S233" s="11" t="str">
        <f t="shared" si="30"/>
        <v>High_profit</v>
      </c>
      <c r="T233" s="13" t="str">
        <f t="shared" si="31"/>
        <v>Dec</v>
      </c>
    </row>
    <row r="234" spans="1:20" x14ac:dyDescent="0.3">
      <c r="A234" s="9">
        <v>45488</v>
      </c>
      <c r="B234" s="3">
        <v>3233</v>
      </c>
      <c r="C234" s="3">
        <v>1018</v>
      </c>
      <c r="D234" s="3">
        <v>2027</v>
      </c>
      <c r="E234" s="3">
        <v>6</v>
      </c>
      <c r="F234" s="3">
        <f>VLOOKUP(Sheet1!$D234,Customers!$A$1:$D$51,2,TRUE)</f>
        <v>27</v>
      </c>
      <c r="G234" s="3" t="str">
        <f>VLOOKUP(Sheet1!$D234,Customers!$A$1:$D$51,3,TRUE)</f>
        <v>Female</v>
      </c>
      <c r="H234" s="3" t="str">
        <f>VLOOKUP(Sheet1!$D234,Customers!$A$1:$D$51,4,TRUE)</f>
        <v>Chandigarh</v>
      </c>
      <c r="I234" s="3" t="str">
        <f>VLOOKUP($C234,Products!$A$1:$E$21,2,TRUE)</f>
        <v>Resistance Band</v>
      </c>
      <c r="J234" s="3" t="str">
        <f>VLOOKUP($C234,Products!$A$1:$E$21,3,TRUE)</f>
        <v>Fitness</v>
      </c>
      <c r="K234" s="4">
        <f>VLOOKUP($C234,Products!$A$1:$E$21,4,TRUE)</f>
        <v>310</v>
      </c>
      <c r="L234" s="4">
        <f>VLOOKUP($C234,Products!$A$1:$E$21,5,TRUE)</f>
        <v>480</v>
      </c>
      <c r="M234" s="4">
        <f t="shared" si="24"/>
        <v>1860</v>
      </c>
      <c r="N234" s="4">
        <f t="shared" si="25"/>
        <v>2880</v>
      </c>
      <c r="O234" s="4">
        <f t="shared" si="26"/>
        <v>1020</v>
      </c>
      <c r="P234" s="5">
        <f t="shared" si="27"/>
        <v>0.35416666666666669</v>
      </c>
      <c r="Q234" s="3" t="str">
        <f t="shared" si="28"/>
        <v>High_order</v>
      </c>
      <c r="R234" s="3" t="str">
        <f t="shared" si="29"/>
        <v>Young</v>
      </c>
      <c r="S234" s="11" t="str">
        <f t="shared" si="30"/>
        <v>Medium_profit</v>
      </c>
      <c r="T234" s="13" t="str">
        <f t="shared" si="31"/>
        <v>Jul</v>
      </c>
    </row>
    <row r="235" spans="1:20" x14ac:dyDescent="0.3">
      <c r="A235" s="9">
        <v>45337</v>
      </c>
      <c r="B235" s="3">
        <v>3234</v>
      </c>
      <c r="C235" s="3">
        <v>1014</v>
      </c>
      <c r="D235" s="3">
        <v>2015</v>
      </c>
      <c r="E235" s="3">
        <v>9</v>
      </c>
      <c r="F235" s="3">
        <f>VLOOKUP(Sheet1!$D235,Customers!$A$1:$D$51,2,TRUE)</f>
        <v>40</v>
      </c>
      <c r="G235" s="3" t="str">
        <f>VLOOKUP(Sheet1!$D235,Customers!$A$1:$D$51,3,TRUE)</f>
        <v>Male</v>
      </c>
      <c r="H235" s="3" t="str">
        <f>VLOOKUP(Sheet1!$D235,Customers!$A$1:$D$51,4,TRUE)</f>
        <v>Delhi</v>
      </c>
      <c r="I235" s="3" t="str">
        <f>VLOOKUP($C235,Products!$A$1:$E$21,2,TRUE)</f>
        <v>Stapler</v>
      </c>
      <c r="J235" s="3" t="str">
        <f>VLOOKUP($C235,Products!$A$1:$E$21,3,TRUE)</f>
        <v>Office</v>
      </c>
      <c r="K235" s="4">
        <f>VLOOKUP($C235,Products!$A$1:$E$21,4,TRUE)</f>
        <v>170</v>
      </c>
      <c r="L235" s="4">
        <f>VLOOKUP($C235,Products!$A$1:$E$21,5,TRUE)</f>
        <v>280</v>
      </c>
      <c r="M235" s="4">
        <f t="shared" si="24"/>
        <v>1530</v>
      </c>
      <c r="N235" s="4">
        <f t="shared" si="25"/>
        <v>2520</v>
      </c>
      <c r="O235" s="4">
        <f t="shared" si="26"/>
        <v>990</v>
      </c>
      <c r="P235" s="5">
        <f t="shared" si="27"/>
        <v>0.39285714285714285</v>
      </c>
      <c r="Q235" s="3" t="str">
        <f t="shared" si="28"/>
        <v>High_order</v>
      </c>
      <c r="R235" s="3" t="str">
        <f t="shared" si="29"/>
        <v>Middle_age</v>
      </c>
      <c r="S235" s="11" t="str">
        <f t="shared" si="30"/>
        <v>Medium_profit</v>
      </c>
      <c r="T235" s="13" t="str">
        <f t="shared" si="31"/>
        <v>Feb</v>
      </c>
    </row>
    <row r="236" spans="1:20" x14ac:dyDescent="0.3">
      <c r="A236" s="9">
        <v>45609</v>
      </c>
      <c r="B236" s="3">
        <v>3235</v>
      </c>
      <c r="C236" s="3">
        <v>1007</v>
      </c>
      <c r="D236" s="3">
        <v>2037</v>
      </c>
      <c r="E236" s="3">
        <v>10</v>
      </c>
      <c r="F236" s="3">
        <f>VLOOKUP(Sheet1!$D236,Customers!$A$1:$D$51,2,TRUE)</f>
        <v>38</v>
      </c>
      <c r="G236" s="3" t="str">
        <f>VLOOKUP(Sheet1!$D236,Customers!$A$1:$D$51,3,TRUE)</f>
        <v>Male</v>
      </c>
      <c r="H236" s="3" t="str">
        <f>VLOOKUP(Sheet1!$D236,Customers!$A$1:$D$51,4,TRUE)</f>
        <v>Chandigarh</v>
      </c>
      <c r="I236" s="3" t="str">
        <f>VLOOKUP($C236,Products!$A$1:$E$21,2,TRUE)</f>
        <v>Charger</v>
      </c>
      <c r="J236" s="3" t="str">
        <f>VLOOKUP($C236,Products!$A$1:$E$21,3,TRUE)</f>
        <v>Accessories</v>
      </c>
      <c r="K236" s="4">
        <f>VLOOKUP($C236,Products!$A$1:$E$21,4,TRUE)</f>
        <v>160</v>
      </c>
      <c r="L236" s="4">
        <f>VLOOKUP($C236,Products!$A$1:$E$21,5,TRUE)</f>
        <v>230</v>
      </c>
      <c r="M236" s="4">
        <f t="shared" si="24"/>
        <v>1600</v>
      </c>
      <c r="N236" s="4">
        <f t="shared" si="25"/>
        <v>2300</v>
      </c>
      <c r="O236" s="4">
        <f t="shared" si="26"/>
        <v>700</v>
      </c>
      <c r="P236" s="5">
        <f t="shared" si="27"/>
        <v>0.30434782608695654</v>
      </c>
      <c r="Q236" s="3" t="str">
        <f t="shared" si="28"/>
        <v>Medium_order</v>
      </c>
      <c r="R236" s="3" t="str">
        <f t="shared" si="29"/>
        <v>Middle_age</v>
      </c>
      <c r="S236" s="11" t="str">
        <f t="shared" si="30"/>
        <v>Low_profit</v>
      </c>
      <c r="T236" s="13" t="str">
        <f t="shared" si="31"/>
        <v>Nov</v>
      </c>
    </row>
    <row r="237" spans="1:20" x14ac:dyDescent="0.3">
      <c r="A237" s="9">
        <v>45415</v>
      </c>
      <c r="B237" s="3">
        <v>3236</v>
      </c>
      <c r="C237" s="3">
        <v>1015</v>
      </c>
      <c r="D237" s="3">
        <v>2034</v>
      </c>
      <c r="E237" s="3">
        <v>7</v>
      </c>
      <c r="F237" s="3">
        <f>VLOOKUP(Sheet1!$D237,Customers!$A$1:$D$51,2,TRUE)</f>
        <v>48</v>
      </c>
      <c r="G237" s="3" t="str">
        <f>VLOOKUP(Sheet1!$D237,Customers!$A$1:$D$51,3,TRUE)</f>
        <v>Female</v>
      </c>
      <c r="H237" s="3" t="str">
        <f>VLOOKUP(Sheet1!$D237,Customers!$A$1:$D$51,4,TRUE)</f>
        <v>Pune</v>
      </c>
      <c r="I237" s="3" t="str">
        <f>VLOOKUP($C237,Products!$A$1:$E$21,2,TRUE)</f>
        <v>Organizer</v>
      </c>
      <c r="J237" s="3" t="str">
        <f>VLOOKUP($C237,Products!$A$1:$E$21,3,TRUE)</f>
        <v>Office</v>
      </c>
      <c r="K237" s="4">
        <f>VLOOKUP($C237,Products!$A$1:$E$21,4,TRUE)</f>
        <v>70</v>
      </c>
      <c r="L237" s="4">
        <f>VLOOKUP($C237,Products!$A$1:$E$21,5,TRUE)</f>
        <v>210</v>
      </c>
      <c r="M237" s="4">
        <f t="shared" si="24"/>
        <v>490</v>
      </c>
      <c r="N237" s="4">
        <f t="shared" si="25"/>
        <v>1470</v>
      </c>
      <c r="O237" s="4">
        <f t="shared" si="26"/>
        <v>980</v>
      </c>
      <c r="P237" s="5">
        <f t="shared" si="27"/>
        <v>0.66666666666666663</v>
      </c>
      <c r="Q237" s="3" t="str">
        <f t="shared" si="28"/>
        <v>Medium_order</v>
      </c>
      <c r="R237" s="3" t="str">
        <f t="shared" si="29"/>
        <v>Senior</v>
      </c>
      <c r="S237" s="11" t="str">
        <f t="shared" si="30"/>
        <v>High_profit</v>
      </c>
      <c r="T237" s="13" t="str">
        <f t="shared" si="31"/>
        <v>May</v>
      </c>
    </row>
    <row r="238" spans="1:20" x14ac:dyDescent="0.3">
      <c r="A238" s="9">
        <v>45316</v>
      </c>
      <c r="B238" s="3">
        <v>3237</v>
      </c>
      <c r="C238" s="3">
        <v>1002</v>
      </c>
      <c r="D238" s="3">
        <v>2004</v>
      </c>
      <c r="E238" s="3">
        <v>5</v>
      </c>
      <c r="F238" s="3">
        <f>VLOOKUP(Sheet1!$D238,Customers!$A$1:$D$51,2,TRUE)</f>
        <v>25</v>
      </c>
      <c r="G238" s="3" t="str">
        <f>VLOOKUP(Sheet1!$D238,Customers!$A$1:$D$51,3,TRUE)</f>
        <v>Male</v>
      </c>
      <c r="H238" s="3" t="str">
        <f>VLOOKUP(Sheet1!$D238,Customers!$A$1:$D$51,4,TRUE)</f>
        <v>Pune</v>
      </c>
      <c r="I238" s="3" t="str">
        <f>VLOOKUP($C238,Products!$A$1:$E$21,2,TRUE)</f>
        <v>Keyboard</v>
      </c>
      <c r="J238" s="3" t="str">
        <f>VLOOKUP($C238,Products!$A$1:$E$21,3,TRUE)</f>
        <v>Electronics</v>
      </c>
      <c r="K238" s="4">
        <f>VLOOKUP($C238,Products!$A$1:$E$21,4,TRUE)</f>
        <v>230</v>
      </c>
      <c r="L238" s="4">
        <f>VLOOKUP($C238,Products!$A$1:$E$21,5,TRUE)</f>
        <v>400</v>
      </c>
      <c r="M238" s="4">
        <f t="shared" si="24"/>
        <v>1150</v>
      </c>
      <c r="N238" s="4">
        <f t="shared" si="25"/>
        <v>2000</v>
      </c>
      <c r="O238" s="4">
        <f t="shared" si="26"/>
        <v>850</v>
      </c>
      <c r="P238" s="5">
        <f t="shared" si="27"/>
        <v>0.42499999999999999</v>
      </c>
      <c r="Q238" s="3" t="str">
        <f t="shared" si="28"/>
        <v>Medium_order</v>
      </c>
      <c r="R238" s="3" t="str">
        <f t="shared" si="29"/>
        <v>Young</v>
      </c>
      <c r="S238" s="11" t="str">
        <f t="shared" si="30"/>
        <v>High_profit</v>
      </c>
      <c r="T238" s="13" t="str">
        <f t="shared" si="31"/>
        <v>Jan</v>
      </c>
    </row>
    <row r="239" spans="1:20" x14ac:dyDescent="0.3">
      <c r="A239" s="9">
        <v>45526</v>
      </c>
      <c r="B239" s="3">
        <v>3238</v>
      </c>
      <c r="C239" s="3">
        <v>1013</v>
      </c>
      <c r="D239" s="3">
        <v>2043</v>
      </c>
      <c r="E239" s="3">
        <v>4</v>
      </c>
      <c r="F239" s="3">
        <f>VLOOKUP(Sheet1!$D239,Customers!$A$1:$D$51,2,TRUE)</f>
        <v>44</v>
      </c>
      <c r="G239" s="3" t="str">
        <f>VLOOKUP(Sheet1!$D239,Customers!$A$1:$D$51,3,TRUE)</f>
        <v>Male</v>
      </c>
      <c r="H239" s="3" t="str">
        <f>VLOOKUP(Sheet1!$D239,Customers!$A$1:$D$51,4,TRUE)</f>
        <v>Delhi</v>
      </c>
      <c r="I239" s="3" t="str">
        <f>VLOOKUP($C239,Products!$A$1:$E$21,2,TRUE)</f>
        <v>Desk Lamp</v>
      </c>
      <c r="J239" s="3" t="str">
        <f>VLOOKUP($C239,Products!$A$1:$E$21,3,TRUE)</f>
        <v>Office</v>
      </c>
      <c r="K239" s="4">
        <f>VLOOKUP($C239,Products!$A$1:$E$21,4,TRUE)</f>
        <v>140</v>
      </c>
      <c r="L239" s="4">
        <f>VLOOKUP($C239,Products!$A$1:$E$21,5,TRUE)</f>
        <v>390</v>
      </c>
      <c r="M239" s="4">
        <f t="shared" si="24"/>
        <v>560</v>
      </c>
      <c r="N239" s="4">
        <f t="shared" si="25"/>
        <v>1560</v>
      </c>
      <c r="O239" s="4">
        <f t="shared" si="26"/>
        <v>1000</v>
      </c>
      <c r="P239" s="5">
        <f t="shared" si="27"/>
        <v>0.64102564102564108</v>
      </c>
      <c r="Q239" s="3" t="str">
        <f t="shared" si="28"/>
        <v>Medium_order</v>
      </c>
      <c r="R239" s="3" t="str">
        <f t="shared" si="29"/>
        <v>Senior</v>
      </c>
      <c r="S239" s="11" t="str">
        <f t="shared" si="30"/>
        <v>High_profit</v>
      </c>
      <c r="T239" s="13" t="str">
        <f t="shared" si="31"/>
        <v>Aug</v>
      </c>
    </row>
    <row r="240" spans="1:20" x14ac:dyDescent="0.3">
      <c r="A240" s="9">
        <v>45511</v>
      </c>
      <c r="B240" s="3">
        <v>3239</v>
      </c>
      <c r="C240" s="3">
        <v>1009</v>
      </c>
      <c r="D240" s="3">
        <v>2013</v>
      </c>
      <c r="E240" s="3">
        <v>2</v>
      </c>
      <c r="F240" s="3">
        <f>VLOOKUP(Sheet1!$D240,Customers!$A$1:$D$51,2,TRUE)</f>
        <v>37</v>
      </c>
      <c r="G240" s="3" t="str">
        <f>VLOOKUP(Sheet1!$D240,Customers!$A$1:$D$51,3,TRUE)</f>
        <v>Male</v>
      </c>
      <c r="H240" s="3" t="str">
        <f>VLOOKUP(Sheet1!$D240,Customers!$A$1:$D$51,4,TRUE)</f>
        <v>Hyderabad</v>
      </c>
      <c r="I240" s="3" t="str">
        <f>VLOOKUP($C240,Products!$A$1:$E$21,2,TRUE)</f>
        <v>Power Bank</v>
      </c>
      <c r="J240" s="3" t="str">
        <f>VLOOKUP($C240,Products!$A$1:$E$21,3,TRUE)</f>
        <v>Accessories</v>
      </c>
      <c r="K240" s="4">
        <f>VLOOKUP($C240,Products!$A$1:$E$21,4,TRUE)</f>
        <v>50</v>
      </c>
      <c r="L240" s="4">
        <f>VLOOKUP($C240,Products!$A$1:$E$21,5,TRUE)</f>
        <v>220</v>
      </c>
      <c r="M240" s="4">
        <f t="shared" si="24"/>
        <v>100</v>
      </c>
      <c r="N240" s="4">
        <f t="shared" si="25"/>
        <v>440</v>
      </c>
      <c r="O240" s="4">
        <f t="shared" si="26"/>
        <v>340</v>
      </c>
      <c r="P240" s="5">
        <f t="shared" si="27"/>
        <v>0.77272727272727271</v>
      </c>
      <c r="Q240" s="3" t="str">
        <f t="shared" si="28"/>
        <v>Low_order</v>
      </c>
      <c r="R240" s="3" t="str">
        <f t="shared" si="29"/>
        <v>Middle_age</v>
      </c>
      <c r="S240" s="11" t="str">
        <f t="shared" si="30"/>
        <v>High_profit</v>
      </c>
      <c r="T240" s="13" t="str">
        <f t="shared" si="31"/>
        <v>Aug</v>
      </c>
    </row>
    <row r="241" spans="1:20" x14ac:dyDescent="0.3">
      <c r="A241" s="9">
        <v>45571</v>
      </c>
      <c r="B241" s="3">
        <v>3240</v>
      </c>
      <c r="C241" s="3">
        <v>1010</v>
      </c>
      <c r="D241" s="3">
        <v>2007</v>
      </c>
      <c r="E241" s="3">
        <v>1</v>
      </c>
      <c r="F241" s="3">
        <f>VLOOKUP(Sheet1!$D241,Customers!$A$1:$D$51,2,TRUE)</f>
        <v>34</v>
      </c>
      <c r="G241" s="3" t="str">
        <f>VLOOKUP(Sheet1!$D241,Customers!$A$1:$D$51,3,TRUE)</f>
        <v>Male</v>
      </c>
      <c r="H241" s="3" t="str">
        <f>VLOOKUP(Sheet1!$D241,Customers!$A$1:$D$51,4,TRUE)</f>
        <v>Bangalore</v>
      </c>
      <c r="I241" s="3" t="str">
        <f>VLOOKUP($C241,Products!$A$1:$E$21,2,TRUE)</f>
        <v>Laptop Sleeve</v>
      </c>
      <c r="J241" s="3" t="str">
        <f>VLOOKUP($C241,Products!$A$1:$E$21,3,TRUE)</f>
        <v>Accessories</v>
      </c>
      <c r="K241" s="4">
        <f>VLOOKUP($C241,Products!$A$1:$E$21,4,TRUE)</f>
        <v>290</v>
      </c>
      <c r="L241" s="4">
        <f>VLOOKUP($C241,Products!$A$1:$E$21,5,TRUE)</f>
        <v>470</v>
      </c>
      <c r="M241" s="4">
        <f t="shared" si="24"/>
        <v>290</v>
      </c>
      <c r="N241" s="4">
        <f t="shared" si="25"/>
        <v>470</v>
      </c>
      <c r="O241" s="4">
        <f t="shared" si="26"/>
        <v>180</v>
      </c>
      <c r="P241" s="5">
        <f t="shared" si="27"/>
        <v>0.38297872340425532</v>
      </c>
      <c r="Q241" s="3" t="str">
        <f t="shared" si="28"/>
        <v>Low_order</v>
      </c>
      <c r="R241" s="3" t="str">
        <f t="shared" si="29"/>
        <v>Middle_age</v>
      </c>
      <c r="S241" s="11" t="str">
        <f t="shared" si="30"/>
        <v>Medium_profit</v>
      </c>
      <c r="T241" s="13" t="str">
        <f t="shared" si="31"/>
        <v>Oct</v>
      </c>
    </row>
    <row r="242" spans="1:20" x14ac:dyDescent="0.3">
      <c r="A242" s="9">
        <v>45459</v>
      </c>
      <c r="B242" s="3">
        <v>3241</v>
      </c>
      <c r="C242" s="3">
        <v>1004</v>
      </c>
      <c r="D242" s="3">
        <v>2043</v>
      </c>
      <c r="E242" s="3">
        <v>6</v>
      </c>
      <c r="F242" s="3">
        <f>VLOOKUP(Sheet1!$D242,Customers!$A$1:$D$51,2,TRUE)</f>
        <v>44</v>
      </c>
      <c r="G242" s="3" t="str">
        <f>VLOOKUP(Sheet1!$D242,Customers!$A$1:$D$51,3,TRUE)</f>
        <v>Male</v>
      </c>
      <c r="H242" s="3" t="str">
        <f>VLOOKUP(Sheet1!$D242,Customers!$A$1:$D$51,4,TRUE)</f>
        <v>Delhi</v>
      </c>
      <c r="I242" s="3" t="str">
        <f>VLOOKUP($C242,Products!$A$1:$E$21,2,TRUE)</f>
        <v>Speaker</v>
      </c>
      <c r="J242" s="3" t="str">
        <f>VLOOKUP($C242,Products!$A$1:$E$21,3,TRUE)</f>
        <v>Electronics</v>
      </c>
      <c r="K242" s="4">
        <f>VLOOKUP($C242,Products!$A$1:$E$21,4,TRUE)</f>
        <v>230</v>
      </c>
      <c r="L242" s="4">
        <f>VLOOKUP($C242,Products!$A$1:$E$21,5,TRUE)</f>
        <v>440</v>
      </c>
      <c r="M242" s="4">
        <f t="shared" si="24"/>
        <v>1380</v>
      </c>
      <c r="N242" s="4">
        <f t="shared" si="25"/>
        <v>2640</v>
      </c>
      <c r="O242" s="4">
        <f t="shared" si="26"/>
        <v>1260</v>
      </c>
      <c r="P242" s="5">
        <f t="shared" si="27"/>
        <v>0.47727272727272729</v>
      </c>
      <c r="Q242" s="3" t="str">
        <f t="shared" si="28"/>
        <v>High_order</v>
      </c>
      <c r="R242" s="3" t="str">
        <f t="shared" si="29"/>
        <v>Senior</v>
      </c>
      <c r="S242" s="11" t="str">
        <f t="shared" si="30"/>
        <v>High_profit</v>
      </c>
      <c r="T242" s="13" t="str">
        <f t="shared" si="31"/>
        <v>Jun</v>
      </c>
    </row>
    <row r="243" spans="1:20" x14ac:dyDescent="0.3">
      <c r="A243" s="9">
        <v>45584</v>
      </c>
      <c r="B243" s="3">
        <v>3242</v>
      </c>
      <c r="C243" s="3">
        <v>1013</v>
      </c>
      <c r="D243" s="3">
        <v>2007</v>
      </c>
      <c r="E243" s="3">
        <v>6</v>
      </c>
      <c r="F243" s="3">
        <f>VLOOKUP(Sheet1!$D243,Customers!$A$1:$D$51,2,TRUE)</f>
        <v>34</v>
      </c>
      <c r="G243" s="3" t="str">
        <f>VLOOKUP(Sheet1!$D243,Customers!$A$1:$D$51,3,TRUE)</f>
        <v>Male</v>
      </c>
      <c r="H243" s="3" t="str">
        <f>VLOOKUP(Sheet1!$D243,Customers!$A$1:$D$51,4,TRUE)</f>
        <v>Bangalore</v>
      </c>
      <c r="I243" s="3" t="str">
        <f>VLOOKUP($C243,Products!$A$1:$E$21,2,TRUE)</f>
        <v>Desk Lamp</v>
      </c>
      <c r="J243" s="3" t="str">
        <f>VLOOKUP($C243,Products!$A$1:$E$21,3,TRUE)</f>
        <v>Office</v>
      </c>
      <c r="K243" s="4">
        <f>VLOOKUP($C243,Products!$A$1:$E$21,4,TRUE)</f>
        <v>140</v>
      </c>
      <c r="L243" s="4">
        <f>VLOOKUP($C243,Products!$A$1:$E$21,5,TRUE)</f>
        <v>390</v>
      </c>
      <c r="M243" s="4">
        <f t="shared" si="24"/>
        <v>840</v>
      </c>
      <c r="N243" s="4">
        <f t="shared" si="25"/>
        <v>2340</v>
      </c>
      <c r="O243" s="4">
        <f t="shared" si="26"/>
        <v>1500</v>
      </c>
      <c r="P243" s="5">
        <f t="shared" si="27"/>
        <v>0.64102564102564108</v>
      </c>
      <c r="Q243" s="3" t="str">
        <f t="shared" si="28"/>
        <v>Medium_order</v>
      </c>
      <c r="R243" s="3" t="str">
        <f t="shared" si="29"/>
        <v>Middle_age</v>
      </c>
      <c r="S243" s="11" t="str">
        <f t="shared" si="30"/>
        <v>High_profit</v>
      </c>
      <c r="T243" s="13" t="str">
        <f t="shared" si="31"/>
        <v>Oct</v>
      </c>
    </row>
    <row r="244" spans="1:20" x14ac:dyDescent="0.3">
      <c r="A244" s="9">
        <v>45316</v>
      </c>
      <c r="B244" s="3">
        <v>3243</v>
      </c>
      <c r="C244" s="3">
        <v>1014</v>
      </c>
      <c r="D244" s="3">
        <v>2006</v>
      </c>
      <c r="E244" s="3">
        <v>6</v>
      </c>
      <c r="F244" s="3">
        <f>VLOOKUP(Sheet1!$D244,Customers!$A$1:$D$51,2,TRUE)</f>
        <v>32</v>
      </c>
      <c r="G244" s="3" t="str">
        <f>VLOOKUP(Sheet1!$D244,Customers!$A$1:$D$51,3,TRUE)</f>
        <v>Male</v>
      </c>
      <c r="H244" s="3" t="str">
        <f>VLOOKUP(Sheet1!$D244,Customers!$A$1:$D$51,4,TRUE)</f>
        <v>Hyderabad</v>
      </c>
      <c r="I244" s="3" t="str">
        <f>VLOOKUP($C244,Products!$A$1:$E$21,2,TRUE)</f>
        <v>Stapler</v>
      </c>
      <c r="J244" s="3" t="str">
        <f>VLOOKUP($C244,Products!$A$1:$E$21,3,TRUE)</f>
        <v>Office</v>
      </c>
      <c r="K244" s="4">
        <f>VLOOKUP($C244,Products!$A$1:$E$21,4,TRUE)</f>
        <v>170</v>
      </c>
      <c r="L244" s="4">
        <f>VLOOKUP($C244,Products!$A$1:$E$21,5,TRUE)</f>
        <v>280</v>
      </c>
      <c r="M244" s="4">
        <f t="shared" si="24"/>
        <v>1020</v>
      </c>
      <c r="N244" s="4">
        <f t="shared" si="25"/>
        <v>1680</v>
      </c>
      <c r="O244" s="4">
        <f t="shared" si="26"/>
        <v>660</v>
      </c>
      <c r="P244" s="5">
        <f t="shared" si="27"/>
        <v>0.39285714285714285</v>
      </c>
      <c r="Q244" s="3" t="str">
        <f t="shared" si="28"/>
        <v>Medium_order</v>
      </c>
      <c r="R244" s="3" t="str">
        <f t="shared" si="29"/>
        <v>Middle_age</v>
      </c>
      <c r="S244" s="11" t="str">
        <f t="shared" si="30"/>
        <v>Medium_profit</v>
      </c>
      <c r="T244" s="13" t="str">
        <f t="shared" si="31"/>
        <v>Jan</v>
      </c>
    </row>
    <row r="245" spans="1:20" x14ac:dyDescent="0.3">
      <c r="A245" s="9">
        <v>45317</v>
      </c>
      <c r="B245" s="3">
        <v>3244</v>
      </c>
      <c r="C245" s="3">
        <v>1005</v>
      </c>
      <c r="D245" s="3">
        <v>2047</v>
      </c>
      <c r="E245" s="3">
        <v>6</v>
      </c>
      <c r="F245" s="3">
        <f>VLOOKUP(Sheet1!$D245,Customers!$A$1:$D$51,2,TRUE)</f>
        <v>28</v>
      </c>
      <c r="G245" s="3" t="str">
        <f>VLOOKUP(Sheet1!$D245,Customers!$A$1:$D$51,3,TRUE)</f>
        <v>Male</v>
      </c>
      <c r="H245" s="3" t="str">
        <f>VLOOKUP(Sheet1!$D245,Customers!$A$1:$D$51,4,TRUE)</f>
        <v>Chandigarh</v>
      </c>
      <c r="I245" s="3" t="str">
        <f>VLOOKUP($C245,Products!$A$1:$E$21,2,TRUE)</f>
        <v>Webcam</v>
      </c>
      <c r="J245" s="3" t="str">
        <f>VLOOKUP($C245,Products!$A$1:$E$21,3,TRUE)</f>
        <v>Electronics</v>
      </c>
      <c r="K245" s="4">
        <f>VLOOKUP($C245,Products!$A$1:$E$21,4,TRUE)</f>
        <v>340</v>
      </c>
      <c r="L245" s="4">
        <f>VLOOKUP($C245,Products!$A$1:$E$21,5,TRUE)</f>
        <v>520</v>
      </c>
      <c r="M245" s="4">
        <f t="shared" si="24"/>
        <v>2040</v>
      </c>
      <c r="N245" s="4">
        <f t="shared" si="25"/>
        <v>3120</v>
      </c>
      <c r="O245" s="4">
        <f t="shared" si="26"/>
        <v>1080</v>
      </c>
      <c r="P245" s="5">
        <f t="shared" si="27"/>
        <v>0.34615384615384615</v>
      </c>
      <c r="Q245" s="3" t="str">
        <f t="shared" si="28"/>
        <v>High_order</v>
      </c>
      <c r="R245" s="3" t="str">
        <f t="shared" si="29"/>
        <v>Young</v>
      </c>
      <c r="S245" s="11" t="str">
        <f t="shared" si="30"/>
        <v>Medium_profit</v>
      </c>
      <c r="T245" s="13" t="str">
        <f t="shared" si="31"/>
        <v>Jan</v>
      </c>
    </row>
    <row r="246" spans="1:20" x14ac:dyDescent="0.3">
      <c r="A246" s="9">
        <v>45419</v>
      </c>
      <c r="B246" s="3">
        <v>3245</v>
      </c>
      <c r="C246" s="3">
        <v>1020</v>
      </c>
      <c r="D246" s="3">
        <v>2033</v>
      </c>
      <c r="E246" s="3">
        <v>6</v>
      </c>
      <c r="F246" s="3">
        <f>VLOOKUP(Sheet1!$D246,Customers!$A$1:$D$51,2,TRUE)</f>
        <v>43</v>
      </c>
      <c r="G246" s="3" t="str">
        <f>VLOOKUP(Sheet1!$D246,Customers!$A$1:$D$51,3,TRUE)</f>
        <v>Female</v>
      </c>
      <c r="H246" s="3" t="str">
        <f>VLOOKUP(Sheet1!$D246,Customers!$A$1:$D$51,4,TRUE)</f>
        <v>Hyderabad</v>
      </c>
      <c r="I246" s="3" t="str">
        <f>VLOOKUP($C246,Products!$A$1:$E$21,2,TRUE)</f>
        <v>Water Bottle</v>
      </c>
      <c r="J246" s="3" t="str">
        <f>VLOOKUP($C246,Products!$A$1:$E$21,3,TRUE)</f>
        <v>Fitness</v>
      </c>
      <c r="K246" s="4">
        <f>VLOOKUP($C246,Products!$A$1:$E$21,4,TRUE)</f>
        <v>400</v>
      </c>
      <c r="L246" s="4">
        <f>VLOOKUP($C246,Products!$A$1:$E$21,5,TRUE)</f>
        <v>560</v>
      </c>
      <c r="M246" s="4">
        <f t="shared" si="24"/>
        <v>2400</v>
      </c>
      <c r="N246" s="4">
        <f t="shared" si="25"/>
        <v>3360</v>
      </c>
      <c r="O246" s="4">
        <f t="shared" si="26"/>
        <v>960</v>
      </c>
      <c r="P246" s="5">
        <f t="shared" si="27"/>
        <v>0.2857142857142857</v>
      </c>
      <c r="Q246" s="3" t="str">
        <f t="shared" si="28"/>
        <v>High_order</v>
      </c>
      <c r="R246" s="3" t="str">
        <f t="shared" si="29"/>
        <v>Senior</v>
      </c>
      <c r="S246" s="11" t="str">
        <f t="shared" si="30"/>
        <v>Low_profit</v>
      </c>
      <c r="T246" s="13" t="str">
        <f t="shared" si="31"/>
        <v>May</v>
      </c>
    </row>
    <row r="247" spans="1:20" x14ac:dyDescent="0.3">
      <c r="A247" s="9">
        <v>45373</v>
      </c>
      <c r="B247" s="3">
        <v>3246</v>
      </c>
      <c r="C247" s="3">
        <v>1001</v>
      </c>
      <c r="D247" s="3">
        <v>2022</v>
      </c>
      <c r="E247" s="3">
        <v>4</v>
      </c>
      <c r="F247" s="3">
        <f>VLOOKUP(Sheet1!$D247,Customers!$A$1:$D$51,2,TRUE)</f>
        <v>19</v>
      </c>
      <c r="G247" s="3" t="str">
        <f>VLOOKUP(Sheet1!$D247,Customers!$A$1:$D$51,3,TRUE)</f>
        <v>Male</v>
      </c>
      <c r="H247" s="3" t="str">
        <f>VLOOKUP(Sheet1!$D247,Customers!$A$1:$D$51,4,TRUE)</f>
        <v>Pune</v>
      </c>
      <c r="I247" s="3" t="str">
        <f>VLOOKUP($C247,Products!$A$1:$E$21,2,TRUE)</f>
        <v>Headphones</v>
      </c>
      <c r="J247" s="3" t="str">
        <f>VLOOKUP($C247,Products!$A$1:$E$21,3,TRUE)</f>
        <v>Electronics</v>
      </c>
      <c r="K247" s="4">
        <f>VLOOKUP($C247,Products!$A$1:$E$21,4,TRUE)</f>
        <v>380</v>
      </c>
      <c r="L247" s="4">
        <f>VLOOKUP($C247,Products!$A$1:$E$21,5,TRUE)</f>
        <v>550</v>
      </c>
      <c r="M247" s="4">
        <f t="shared" si="24"/>
        <v>1520</v>
      </c>
      <c r="N247" s="4">
        <f t="shared" si="25"/>
        <v>2200</v>
      </c>
      <c r="O247" s="4">
        <f t="shared" si="26"/>
        <v>680</v>
      </c>
      <c r="P247" s="5">
        <f t="shared" si="27"/>
        <v>0.30909090909090908</v>
      </c>
      <c r="Q247" s="3" t="str">
        <f t="shared" si="28"/>
        <v>Medium_order</v>
      </c>
      <c r="R247" s="3" t="str">
        <f t="shared" si="29"/>
        <v>Young</v>
      </c>
      <c r="S247" s="11" t="str">
        <f t="shared" si="30"/>
        <v>Low_profit</v>
      </c>
      <c r="T247" s="13" t="str">
        <f t="shared" si="31"/>
        <v>Mar</v>
      </c>
    </row>
    <row r="248" spans="1:20" x14ac:dyDescent="0.3">
      <c r="A248" s="9">
        <v>45329</v>
      </c>
      <c r="B248" s="3">
        <v>3247</v>
      </c>
      <c r="C248" s="3">
        <v>1019</v>
      </c>
      <c r="D248" s="3">
        <v>2025</v>
      </c>
      <c r="E248" s="3">
        <v>7</v>
      </c>
      <c r="F248" s="3">
        <f>VLOOKUP(Sheet1!$D248,Customers!$A$1:$D$51,2,TRUE)</f>
        <v>34</v>
      </c>
      <c r="G248" s="3" t="str">
        <f>VLOOKUP(Sheet1!$D248,Customers!$A$1:$D$51,3,TRUE)</f>
        <v>Male</v>
      </c>
      <c r="H248" s="3" t="str">
        <f>VLOOKUP(Sheet1!$D248,Customers!$A$1:$D$51,4,TRUE)</f>
        <v>Delhi</v>
      </c>
      <c r="I248" s="3" t="str">
        <f>VLOOKUP($C248,Products!$A$1:$E$21,2,TRUE)</f>
        <v>Skipping Rope</v>
      </c>
      <c r="J248" s="3" t="str">
        <f>VLOOKUP($C248,Products!$A$1:$E$21,3,TRUE)</f>
        <v>Fitness</v>
      </c>
      <c r="K248" s="4">
        <f>VLOOKUP($C248,Products!$A$1:$E$21,4,TRUE)</f>
        <v>140</v>
      </c>
      <c r="L248" s="4">
        <f>VLOOKUP($C248,Products!$A$1:$E$21,5,TRUE)</f>
        <v>270</v>
      </c>
      <c r="M248" s="4">
        <f t="shared" si="24"/>
        <v>980</v>
      </c>
      <c r="N248" s="4">
        <f t="shared" si="25"/>
        <v>1890</v>
      </c>
      <c r="O248" s="4">
        <f t="shared" si="26"/>
        <v>910</v>
      </c>
      <c r="P248" s="5">
        <f t="shared" si="27"/>
        <v>0.48148148148148145</v>
      </c>
      <c r="Q248" s="3" t="str">
        <f t="shared" si="28"/>
        <v>Medium_order</v>
      </c>
      <c r="R248" s="3" t="str">
        <f t="shared" si="29"/>
        <v>Middle_age</v>
      </c>
      <c r="S248" s="11" t="str">
        <f t="shared" si="30"/>
        <v>High_profit</v>
      </c>
      <c r="T248" s="13" t="str">
        <f t="shared" si="31"/>
        <v>Feb</v>
      </c>
    </row>
    <row r="249" spans="1:20" x14ac:dyDescent="0.3">
      <c r="A249" s="9">
        <v>45445</v>
      </c>
      <c r="B249" s="3">
        <v>3248</v>
      </c>
      <c r="C249" s="3">
        <v>1015</v>
      </c>
      <c r="D249" s="3">
        <v>2004</v>
      </c>
      <c r="E249" s="3">
        <v>10</v>
      </c>
      <c r="F249" s="3">
        <f>VLOOKUP(Sheet1!$D249,Customers!$A$1:$D$51,2,TRUE)</f>
        <v>25</v>
      </c>
      <c r="G249" s="3" t="str">
        <f>VLOOKUP(Sheet1!$D249,Customers!$A$1:$D$51,3,TRUE)</f>
        <v>Male</v>
      </c>
      <c r="H249" s="3" t="str">
        <f>VLOOKUP(Sheet1!$D249,Customers!$A$1:$D$51,4,TRUE)</f>
        <v>Pune</v>
      </c>
      <c r="I249" s="3" t="str">
        <f>VLOOKUP($C249,Products!$A$1:$E$21,2,TRUE)</f>
        <v>Organizer</v>
      </c>
      <c r="J249" s="3" t="str">
        <f>VLOOKUP($C249,Products!$A$1:$E$21,3,TRUE)</f>
        <v>Office</v>
      </c>
      <c r="K249" s="4">
        <f>VLOOKUP($C249,Products!$A$1:$E$21,4,TRUE)</f>
        <v>70</v>
      </c>
      <c r="L249" s="4">
        <f>VLOOKUP($C249,Products!$A$1:$E$21,5,TRUE)</f>
        <v>210</v>
      </c>
      <c r="M249" s="4">
        <f t="shared" si="24"/>
        <v>700</v>
      </c>
      <c r="N249" s="4">
        <f t="shared" si="25"/>
        <v>2100</v>
      </c>
      <c r="O249" s="4">
        <f t="shared" si="26"/>
        <v>1400</v>
      </c>
      <c r="P249" s="5">
        <f t="shared" si="27"/>
        <v>0.66666666666666663</v>
      </c>
      <c r="Q249" s="3" t="str">
        <f t="shared" si="28"/>
        <v>Medium_order</v>
      </c>
      <c r="R249" s="3" t="str">
        <f t="shared" si="29"/>
        <v>Young</v>
      </c>
      <c r="S249" s="11" t="str">
        <f t="shared" si="30"/>
        <v>High_profit</v>
      </c>
      <c r="T249" s="13" t="str">
        <f t="shared" si="31"/>
        <v>Jun</v>
      </c>
    </row>
    <row r="250" spans="1:20" x14ac:dyDescent="0.3">
      <c r="A250" s="9">
        <v>45619</v>
      </c>
      <c r="B250" s="3">
        <v>3249</v>
      </c>
      <c r="C250" s="3">
        <v>1017</v>
      </c>
      <c r="D250" s="3">
        <v>2022</v>
      </c>
      <c r="E250" s="3">
        <v>1</v>
      </c>
      <c r="F250" s="3">
        <f>VLOOKUP(Sheet1!$D250,Customers!$A$1:$D$51,2,TRUE)</f>
        <v>19</v>
      </c>
      <c r="G250" s="3" t="str">
        <f>VLOOKUP(Sheet1!$D250,Customers!$A$1:$D$51,3,TRUE)</f>
        <v>Male</v>
      </c>
      <c r="H250" s="3" t="str">
        <f>VLOOKUP(Sheet1!$D250,Customers!$A$1:$D$51,4,TRUE)</f>
        <v>Pune</v>
      </c>
      <c r="I250" s="3" t="str">
        <f>VLOOKUP($C250,Products!$A$1:$E$21,2,TRUE)</f>
        <v>Dumbbells</v>
      </c>
      <c r="J250" s="3" t="str">
        <f>VLOOKUP($C250,Products!$A$1:$E$21,3,TRUE)</f>
        <v>Fitness</v>
      </c>
      <c r="K250" s="4">
        <f>VLOOKUP($C250,Products!$A$1:$E$21,4,TRUE)</f>
        <v>120</v>
      </c>
      <c r="L250" s="4">
        <f>VLOOKUP($C250,Products!$A$1:$E$21,5,TRUE)</f>
        <v>200</v>
      </c>
      <c r="M250" s="4">
        <f t="shared" si="24"/>
        <v>120</v>
      </c>
      <c r="N250" s="4">
        <f t="shared" si="25"/>
        <v>200</v>
      </c>
      <c r="O250" s="4">
        <f t="shared" si="26"/>
        <v>80</v>
      </c>
      <c r="P250" s="5">
        <f t="shared" si="27"/>
        <v>0.4</v>
      </c>
      <c r="Q250" s="3" t="str">
        <f t="shared" si="28"/>
        <v>Low_order</v>
      </c>
      <c r="R250" s="3" t="str">
        <f t="shared" si="29"/>
        <v>Young</v>
      </c>
      <c r="S250" s="11" t="str">
        <f t="shared" si="30"/>
        <v>Medium_profit</v>
      </c>
      <c r="T250" s="13" t="str">
        <f t="shared" si="31"/>
        <v>Nov</v>
      </c>
    </row>
    <row r="251" spans="1:20" x14ac:dyDescent="0.3">
      <c r="A251" s="9">
        <v>45376</v>
      </c>
      <c r="B251" s="3">
        <v>3250</v>
      </c>
      <c r="C251" s="3">
        <v>1019</v>
      </c>
      <c r="D251" s="3">
        <v>2040</v>
      </c>
      <c r="E251" s="3">
        <v>7</v>
      </c>
      <c r="F251" s="3">
        <f>VLOOKUP(Sheet1!$D251,Customers!$A$1:$D$51,2,TRUE)</f>
        <v>40</v>
      </c>
      <c r="G251" s="3" t="str">
        <f>VLOOKUP(Sheet1!$D251,Customers!$A$1:$D$51,3,TRUE)</f>
        <v>Male</v>
      </c>
      <c r="H251" s="3" t="str">
        <f>VLOOKUP(Sheet1!$D251,Customers!$A$1:$D$51,4,TRUE)</f>
        <v>Hyderabad</v>
      </c>
      <c r="I251" s="3" t="str">
        <f>VLOOKUP($C251,Products!$A$1:$E$21,2,TRUE)</f>
        <v>Skipping Rope</v>
      </c>
      <c r="J251" s="3" t="str">
        <f>VLOOKUP($C251,Products!$A$1:$E$21,3,TRUE)</f>
        <v>Fitness</v>
      </c>
      <c r="K251" s="4">
        <f>VLOOKUP($C251,Products!$A$1:$E$21,4,TRUE)</f>
        <v>140</v>
      </c>
      <c r="L251" s="4">
        <f>VLOOKUP($C251,Products!$A$1:$E$21,5,TRUE)</f>
        <v>270</v>
      </c>
      <c r="M251" s="4">
        <f t="shared" si="24"/>
        <v>980</v>
      </c>
      <c r="N251" s="4">
        <f t="shared" si="25"/>
        <v>1890</v>
      </c>
      <c r="O251" s="4">
        <f t="shared" si="26"/>
        <v>910</v>
      </c>
      <c r="P251" s="5">
        <f t="shared" si="27"/>
        <v>0.48148148148148145</v>
      </c>
      <c r="Q251" s="3" t="str">
        <f t="shared" si="28"/>
        <v>Medium_order</v>
      </c>
      <c r="R251" s="3" t="str">
        <f t="shared" si="29"/>
        <v>Middle_age</v>
      </c>
      <c r="S251" s="11" t="str">
        <f t="shared" si="30"/>
        <v>High_profit</v>
      </c>
      <c r="T251" s="13" t="str">
        <f t="shared" si="31"/>
        <v>Mar</v>
      </c>
    </row>
    <row r="252" spans="1:20" x14ac:dyDescent="0.3">
      <c r="A252" s="9">
        <v>45331</v>
      </c>
      <c r="B252" s="3">
        <v>3251</v>
      </c>
      <c r="C252" s="3">
        <v>1010</v>
      </c>
      <c r="D252" s="3">
        <v>2024</v>
      </c>
      <c r="E252" s="3">
        <v>10</v>
      </c>
      <c r="F252" s="3">
        <f>VLOOKUP(Sheet1!$D252,Customers!$A$1:$D$51,2,TRUE)</f>
        <v>26</v>
      </c>
      <c r="G252" s="3" t="str">
        <f>VLOOKUP(Sheet1!$D252,Customers!$A$1:$D$51,3,TRUE)</f>
        <v>Female</v>
      </c>
      <c r="H252" s="3" t="str">
        <f>VLOOKUP(Sheet1!$D252,Customers!$A$1:$D$51,4,TRUE)</f>
        <v>Delhi</v>
      </c>
      <c r="I252" s="3" t="str">
        <f>VLOOKUP($C252,Products!$A$1:$E$21,2,TRUE)</f>
        <v>Laptop Sleeve</v>
      </c>
      <c r="J252" s="3" t="str">
        <f>VLOOKUP($C252,Products!$A$1:$E$21,3,TRUE)</f>
        <v>Accessories</v>
      </c>
      <c r="K252" s="4">
        <f>VLOOKUP($C252,Products!$A$1:$E$21,4,TRUE)</f>
        <v>290</v>
      </c>
      <c r="L252" s="4">
        <f>VLOOKUP($C252,Products!$A$1:$E$21,5,TRUE)</f>
        <v>470</v>
      </c>
      <c r="M252" s="4">
        <f t="shared" si="24"/>
        <v>2900</v>
      </c>
      <c r="N252" s="4">
        <f t="shared" si="25"/>
        <v>4700</v>
      </c>
      <c r="O252" s="4">
        <f t="shared" si="26"/>
        <v>1800</v>
      </c>
      <c r="P252" s="5">
        <f t="shared" si="27"/>
        <v>0.38297872340425532</v>
      </c>
      <c r="Q252" s="3" t="str">
        <f t="shared" si="28"/>
        <v>High_order</v>
      </c>
      <c r="R252" s="3" t="str">
        <f t="shared" si="29"/>
        <v>Young</v>
      </c>
      <c r="S252" s="11" t="str">
        <f t="shared" si="30"/>
        <v>Medium_profit</v>
      </c>
      <c r="T252" s="13" t="str">
        <f t="shared" si="31"/>
        <v>Feb</v>
      </c>
    </row>
    <row r="253" spans="1:20" x14ac:dyDescent="0.3">
      <c r="A253" s="9">
        <v>45620</v>
      </c>
      <c r="B253" s="3">
        <v>3252</v>
      </c>
      <c r="C253" s="3">
        <v>1003</v>
      </c>
      <c r="D253" s="3">
        <v>2031</v>
      </c>
      <c r="E253" s="3">
        <v>2</v>
      </c>
      <c r="F253" s="3">
        <f>VLOOKUP(Sheet1!$D253,Customers!$A$1:$D$51,2,TRUE)</f>
        <v>38</v>
      </c>
      <c r="G253" s="3" t="str">
        <f>VLOOKUP(Sheet1!$D253,Customers!$A$1:$D$51,3,TRUE)</f>
        <v>Male</v>
      </c>
      <c r="H253" s="3" t="str">
        <f>VLOOKUP(Sheet1!$D253,Customers!$A$1:$D$51,4,TRUE)</f>
        <v>Bangalore</v>
      </c>
      <c r="I253" s="3" t="str">
        <f>VLOOKUP($C253,Products!$A$1:$E$21,2,TRUE)</f>
        <v>Mouse</v>
      </c>
      <c r="J253" s="3" t="str">
        <f>VLOOKUP($C253,Products!$A$1:$E$21,3,TRUE)</f>
        <v>Electronics</v>
      </c>
      <c r="K253" s="4">
        <f>VLOOKUP($C253,Products!$A$1:$E$21,4,TRUE)</f>
        <v>140</v>
      </c>
      <c r="L253" s="4">
        <f>VLOOKUP($C253,Products!$A$1:$E$21,5,TRUE)</f>
        <v>350</v>
      </c>
      <c r="M253" s="4">
        <f t="shared" si="24"/>
        <v>280</v>
      </c>
      <c r="N253" s="4">
        <f t="shared" si="25"/>
        <v>700</v>
      </c>
      <c r="O253" s="4">
        <f t="shared" si="26"/>
        <v>420</v>
      </c>
      <c r="P253" s="5">
        <f t="shared" si="27"/>
        <v>0.6</v>
      </c>
      <c r="Q253" s="3" t="str">
        <f t="shared" si="28"/>
        <v>Low_order</v>
      </c>
      <c r="R253" s="3" t="str">
        <f t="shared" si="29"/>
        <v>Middle_age</v>
      </c>
      <c r="S253" s="11" t="str">
        <f t="shared" si="30"/>
        <v>High_profit</v>
      </c>
      <c r="T253" s="13" t="str">
        <f t="shared" si="31"/>
        <v>Nov</v>
      </c>
    </row>
    <row r="254" spans="1:20" x14ac:dyDescent="0.3">
      <c r="A254" s="9">
        <v>45493</v>
      </c>
      <c r="B254" s="3">
        <v>3253</v>
      </c>
      <c r="C254" s="3">
        <v>1016</v>
      </c>
      <c r="D254" s="3">
        <v>2013</v>
      </c>
      <c r="E254" s="3">
        <v>9</v>
      </c>
      <c r="F254" s="3">
        <f>VLOOKUP(Sheet1!$D254,Customers!$A$1:$D$51,2,TRUE)</f>
        <v>37</v>
      </c>
      <c r="G254" s="3" t="str">
        <f>VLOOKUP(Sheet1!$D254,Customers!$A$1:$D$51,3,TRUE)</f>
        <v>Male</v>
      </c>
      <c r="H254" s="3" t="str">
        <f>VLOOKUP(Sheet1!$D254,Customers!$A$1:$D$51,4,TRUE)</f>
        <v>Hyderabad</v>
      </c>
      <c r="I254" s="3" t="str">
        <f>VLOOKUP($C254,Products!$A$1:$E$21,2,TRUE)</f>
        <v>Yoga Mat</v>
      </c>
      <c r="J254" s="3" t="str">
        <f>VLOOKUP($C254,Products!$A$1:$E$21,3,TRUE)</f>
        <v>Fitness</v>
      </c>
      <c r="K254" s="4">
        <f>VLOOKUP($C254,Products!$A$1:$E$21,4,TRUE)</f>
        <v>330</v>
      </c>
      <c r="L254" s="4">
        <f>VLOOKUP($C254,Products!$A$1:$E$21,5,TRUE)</f>
        <v>490</v>
      </c>
      <c r="M254" s="4">
        <f t="shared" si="24"/>
        <v>2970</v>
      </c>
      <c r="N254" s="4">
        <f t="shared" si="25"/>
        <v>4410</v>
      </c>
      <c r="O254" s="4">
        <f t="shared" si="26"/>
        <v>1440</v>
      </c>
      <c r="P254" s="5">
        <f t="shared" si="27"/>
        <v>0.32653061224489793</v>
      </c>
      <c r="Q254" s="3" t="str">
        <f t="shared" si="28"/>
        <v>High_order</v>
      </c>
      <c r="R254" s="3" t="str">
        <f t="shared" si="29"/>
        <v>Middle_age</v>
      </c>
      <c r="S254" s="11" t="str">
        <f t="shared" si="30"/>
        <v>Medium_profit</v>
      </c>
      <c r="T254" s="13" t="str">
        <f t="shared" si="31"/>
        <v>Jul</v>
      </c>
    </row>
    <row r="255" spans="1:20" x14ac:dyDescent="0.3">
      <c r="A255" s="9">
        <v>45470</v>
      </c>
      <c r="B255" s="3">
        <v>3254</v>
      </c>
      <c r="C255" s="3">
        <v>1002</v>
      </c>
      <c r="D255" s="3">
        <v>2020</v>
      </c>
      <c r="E255" s="3">
        <v>6</v>
      </c>
      <c r="F255" s="3">
        <f>VLOOKUP(Sheet1!$D255,Customers!$A$1:$D$51,2,TRUE)</f>
        <v>27</v>
      </c>
      <c r="G255" s="3" t="str">
        <f>VLOOKUP(Sheet1!$D255,Customers!$A$1:$D$51,3,TRUE)</f>
        <v>Male</v>
      </c>
      <c r="H255" s="3" t="str">
        <f>VLOOKUP(Sheet1!$D255,Customers!$A$1:$D$51,4,TRUE)</f>
        <v>Chandigarh</v>
      </c>
      <c r="I255" s="3" t="str">
        <f>VLOOKUP($C255,Products!$A$1:$E$21,2,TRUE)</f>
        <v>Keyboard</v>
      </c>
      <c r="J255" s="3" t="str">
        <f>VLOOKUP($C255,Products!$A$1:$E$21,3,TRUE)</f>
        <v>Electronics</v>
      </c>
      <c r="K255" s="4">
        <f>VLOOKUP($C255,Products!$A$1:$E$21,4,TRUE)</f>
        <v>230</v>
      </c>
      <c r="L255" s="4">
        <f>VLOOKUP($C255,Products!$A$1:$E$21,5,TRUE)</f>
        <v>400</v>
      </c>
      <c r="M255" s="4">
        <f t="shared" si="24"/>
        <v>1380</v>
      </c>
      <c r="N255" s="4">
        <f t="shared" si="25"/>
        <v>2400</v>
      </c>
      <c r="O255" s="4">
        <f t="shared" si="26"/>
        <v>1020</v>
      </c>
      <c r="P255" s="5">
        <f t="shared" si="27"/>
        <v>0.42499999999999999</v>
      </c>
      <c r="Q255" s="3" t="str">
        <f t="shared" si="28"/>
        <v>Medium_order</v>
      </c>
      <c r="R255" s="3" t="str">
        <f t="shared" si="29"/>
        <v>Young</v>
      </c>
      <c r="S255" s="11" t="str">
        <f t="shared" si="30"/>
        <v>High_profit</v>
      </c>
      <c r="T255" s="13" t="str">
        <f t="shared" si="31"/>
        <v>Jun</v>
      </c>
    </row>
    <row r="256" spans="1:20" x14ac:dyDescent="0.3">
      <c r="A256" s="9">
        <v>45460</v>
      </c>
      <c r="B256" s="3">
        <v>3255</v>
      </c>
      <c r="C256" s="3">
        <v>1020</v>
      </c>
      <c r="D256" s="3">
        <v>2035</v>
      </c>
      <c r="E256" s="3">
        <v>2</v>
      </c>
      <c r="F256" s="3">
        <f>VLOOKUP(Sheet1!$D256,Customers!$A$1:$D$51,2,TRUE)</f>
        <v>37</v>
      </c>
      <c r="G256" s="3" t="str">
        <f>VLOOKUP(Sheet1!$D256,Customers!$A$1:$D$51,3,TRUE)</f>
        <v>Female</v>
      </c>
      <c r="H256" s="3" t="str">
        <f>VLOOKUP(Sheet1!$D256,Customers!$A$1:$D$51,4,TRUE)</f>
        <v>Delhi</v>
      </c>
      <c r="I256" s="3" t="str">
        <f>VLOOKUP($C256,Products!$A$1:$E$21,2,TRUE)</f>
        <v>Water Bottle</v>
      </c>
      <c r="J256" s="3" t="str">
        <f>VLOOKUP($C256,Products!$A$1:$E$21,3,TRUE)</f>
        <v>Fitness</v>
      </c>
      <c r="K256" s="4">
        <f>VLOOKUP($C256,Products!$A$1:$E$21,4,TRUE)</f>
        <v>400</v>
      </c>
      <c r="L256" s="4">
        <f>VLOOKUP($C256,Products!$A$1:$E$21,5,TRUE)</f>
        <v>560</v>
      </c>
      <c r="M256" s="4">
        <f t="shared" si="24"/>
        <v>800</v>
      </c>
      <c r="N256" s="4">
        <f t="shared" si="25"/>
        <v>1120</v>
      </c>
      <c r="O256" s="4">
        <f t="shared" si="26"/>
        <v>320</v>
      </c>
      <c r="P256" s="5">
        <f t="shared" si="27"/>
        <v>0.2857142857142857</v>
      </c>
      <c r="Q256" s="3" t="str">
        <f t="shared" si="28"/>
        <v>Low_order</v>
      </c>
      <c r="R256" s="3" t="str">
        <f t="shared" si="29"/>
        <v>Middle_age</v>
      </c>
      <c r="S256" s="11" t="str">
        <f t="shared" si="30"/>
        <v>Low_profit</v>
      </c>
      <c r="T256" s="13" t="str">
        <f t="shared" si="31"/>
        <v>Jun</v>
      </c>
    </row>
    <row r="257" spans="1:20" x14ac:dyDescent="0.3">
      <c r="A257" s="9">
        <v>45415</v>
      </c>
      <c r="B257" s="3">
        <v>3256</v>
      </c>
      <c r="C257" s="3">
        <v>1016</v>
      </c>
      <c r="D257" s="3">
        <v>2001</v>
      </c>
      <c r="E257" s="3">
        <v>9</v>
      </c>
      <c r="F257" s="3">
        <f>VLOOKUP(Sheet1!$D257,Customers!$A$1:$D$51,2,TRUE)</f>
        <v>44</v>
      </c>
      <c r="G257" s="3" t="str">
        <f>VLOOKUP(Sheet1!$D257,Customers!$A$1:$D$51,3,TRUE)</f>
        <v>Male</v>
      </c>
      <c r="H257" s="3" t="str">
        <f>VLOOKUP(Sheet1!$D257,Customers!$A$1:$D$51,4,TRUE)</f>
        <v>Delhi</v>
      </c>
      <c r="I257" s="3" t="str">
        <f>VLOOKUP($C257,Products!$A$1:$E$21,2,TRUE)</f>
        <v>Yoga Mat</v>
      </c>
      <c r="J257" s="3" t="str">
        <f>VLOOKUP($C257,Products!$A$1:$E$21,3,TRUE)</f>
        <v>Fitness</v>
      </c>
      <c r="K257" s="4">
        <f>VLOOKUP($C257,Products!$A$1:$E$21,4,TRUE)</f>
        <v>330</v>
      </c>
      <c r="L257" s="4">
        <f>VLOOKUP($C257,Products!$A$1:$E$21,5,TRUE)</f>
        <v>490</v>
      </c>
      <c r="M257" s="4">
        <f t="shared" si="24"/>
        <v>2970</v>
      </c>
      <c r="N257" s="4">
        <f t="shared" si="25"/>
        <v>4410</v>
      </c>
      <c r="O257" s="4">
        <f t="shared" si="26"/>
        <v>1440</v>
      </c>
      <c r="P257" s="5">
        <f t="shared" si="27"/>
        <v>0.32653061224489793</v>
      </c>
      <c r="Q257" s="3" t="str">
        <f t="shared" si="28"/>
        <v>High_order</v>
      </c>
      <c r="R257" s="3" t="str">
        <f t="shared" si="29"/>
        <v>Senior</v>
      </c>
      <c r="S257" s="11" t="str">
        <f t="shared" si="30"/>
        <v>Medium_profit</v>
      </c>
      <c r="T257" s="13" t="str">
        <f t="shared" si="31"/>
        <v>May</v>
      </c>
    </row>
    <row r="258" spans="1:20" x14ac:dyDescent="0.3">
      <c r="A258" s="9">
        <v>45297</v>
      </c>
      <c r="B258" s="3">
        <v>3257</v>
      </c>
      <c r="C258" s="3">
        <v>1015</v>
      </c>
      <c r="D258" s="3">
        <v>2016</v>
      </c>
      <c r="E258" s="3">
        <v>4</v>
      </c>
      <c r="F258" s="3">
        <f>VLOOKUP(Sheet1!$D258,Customers!$A$1:$D$51,2,TRUE)</f>
        <v>29</v>
      </c>
      <c r="G258" s="3" t="str">
        <f>VLOOKUP(Sheet1!$D258,Customers!$A$1:$D$51,3,TRUE)</f>
        <v>Female</v>
      </c>
      <c r="H258" s="3" t="str">
        <f>VLOOKUP(Sheet1!$D258,Customers!$A$1:$D$51,4,TRUE)</f>
        <v>Chandigarh</v>
      </c>
      <c r="I258" s="3" t="str">
        <f>VLOOKUP($C258,Products!$A$1:$E$21,2,TRUE)</f>
        <v>Organizer</v>
      </c>
      <c r="J258" s="3" t="str">
        <f>VLOOKUP($C258,Products!$A$1:$E$21,3,TRUE)</f>
        <v>Office</v>
      </c>
      <c r="K258" s="4">
        <f>VLOOKUP($C258,Products!$A$1:$E$21,4,TRUE)</f>
        <v>70</v>
      </c>
      <c r="L258" s="4">
        <f>VLOOKUP($C258,Products!$A$1:$E$21,5,TRUE)</f>
        <v>210</v>
      </c>
      <c r="M258" s="4">
        <f t="shared" si="24"/>
        <v>280</v>
      </c>
      <c r="N258" s="4">
        <f t="shared" si="25"/>
        <v>840</v>
      </c>
      <c r="O258" s="4">
        <f t="shared" si="26"/>
        <v>560</v>
      </c>
      <c r="P258" s="5">
        <f t="shared" si="27"/>
        <v>0.66666666666666663</v>
      </c>
      <c r="Q258" s="3" t="str">
        <f t="shared" si="28"/>
        <v>Low_order</v>
      </c>
      <c r="R258" s="3" t="str">
        <f t="shared" si="29"/>
        <v>Young</v>
      </c>
      <c r="S258" s="11" t="str">
        <f t="shared" si="30"/>
        <v>High_profit</v>
      </c>
      <c r="T258" s="13" t="str">
        <f t="shared" si="31"/>
        <v>Jan</v>
      </c>
    </row>
    <row r="259" spans="1:20" x14ac:dyDescent="0.3">
      <c r="A259" s="9">
        <v>45394</v>
      </c>
      <c r="B259" s="3">
        <v>3258</v>
      </c>
      <c r="C259" s="3">
        <v>1009</v>
      </c>
      <c r="D259" s="3">
        <v>2008</v>
      </c>
      <c r="E259" s="3">
        <v>10</v>
      </c>
      <c r="F259" s="3">
        <f>VLOOKUP(Sheet1!$D259,Customers!$A$1:$D$51,2,TRUE)</f>
        <v>36</v>
      </c>
      <c r="G259" s="3" t="str">
        <f>VLOOKUP(Sheet1!$D259,Customers!$A$1:$D$51,3,TRUE)</f>
        <v>Male</v>
      </c>
      <c r="H259" s="3" t="str">
        <f>VLOOKUP(Sheet1!$D259,Customers!$A$1:$D$51,4,TRUE)</f>
        <v>Mumbai</v>
      </c>
      <c r="I259" s="3" t="str">
        <f>VLOOKUP($C259,Products!$A$1:$E$21,2,TRUE)</f>
        <v>Power Bank</v>
      </c>
      <c r="J259" s="3" t="str">
        <f>VLOOKUP($C259,Products!$A$1:$E$21,3,TRUE)</f>
        <v>Accessories</v>
      </c>
      <c r="K259" s="4">
        <f>VLOOKUP($C259,Products!$A$1:$E$21,4,TRUE)</f>
        <v>50</v>
      </c>
      <c r="L259" s="4">
        <f>VLOOKUP($C259,Products!$A$1:$E$21,5,TRUE)</f>
        <v>220</v>
      </c>
      <c r="M259" s="4">
        <f t="shared" ref="M259:M322" si="32">$K259*$E259</f>
        <v>500</v>
      </c>
      <c r="N259" s="4">
        <f t="shared" ref="N259:N322" si="33">$L259*$E259</f>
        <v>2200</v>
      </c>
      <c r="O259" s="4">
        <f t="shared" ref="O259:O322" si="34">$N259-$M259</f>
        <v>1700</v>
      </c>
      <c r="P259" s="5">
        <f t="shared" ref="P259:P322" si="35">$O259/$N259</f>
        <v>0.77272727272727271</v>
      </c>
      <c r="Q259" s="3" t="str">
        <f t="shared" ref="Q259:Q322" si="36">IF($N259&lt;$N$508,"Low_order",IF($N259&lt;$N$509,"Medium_order","High_order"))</f>
        <v>Medium_order</v>
      </c>
      <c r="R259" s="3" t="str">
        <f t="shared" ref="R259:R322" si="37">IF($F259&lt;$F$508,"Young",IF($F259&lt;$F$509,"Middle_age","Senior"))</f>
        <v>Middle_age</v>
      </c>
      <c r="S259" s="11" t="str">
        <f t="shared" ref="S259:S322" si="38">IF(P259&lt;$P$508,"Low_profit",IF(P259&lt;$P$509,"Medium_profit","High_profit"))</f>
        <v>High_profit</v>
      </c>
      <c r="T259" s="13" t="str">
        <f t="shared" ref="T259:T322" si="39">TEXT(A259,"MMM")</f>
        <v>Apr</v>
      </c>
    </row>
    <row r="260" spans="1:20" x14ac:dyDescent="0.3">
      <c r="A260" s="9">
        <v>45505</v>
      </c>
      <c r="B260" s="3">
        <v>3259</v>
      </c>
      <c r="C260" s="3">
        <v>1015</v>
      </c>
      <c r="D260" s="3">
        <v>2026</v>
      </c>
      <c r="E260" s="3">
        <v>7</v>
      </c>
      <c r="F260" s="3">
        <f>VLOOKUP(Sheet1!$D260,Customers!$A$1:$D$51,2,TRUE)</f>
        <v>27</v>
      </c>
      <c r="G260" s="3" t="str">
        <f>VLOOKUP(Sheet1!$D260,Customers!$A$1:$D$51,3,TRUE)</f>
        <v>Female</v>
      </c>
      <c r="H260" s="3" t="str">
        <f>VLOOKUP(Sheet1!$D260,Customers!$A$1:$D$51,4,TRUE)</f>
        <v>Mumbai</v>
      </c>
      <c r="I260" s="3" t="str">
        <f>VLOOKUP($C260,Products!$A$1:$E$21,2,TRUE)</f>
        <v>Organizer</v>
      </c>
      <c r="J260" s="3" t="str">
        <f>VLOOKUP($C260,Products!$A$1:$E$21,3,TRUE)</f>
        <v>Office</v>
      </c>
      <c r="K260" s="4">
        <f>VLOOKUP($C260,Products!$A$1:$E$21,4,TRUE)</f>
        <v>70</v>
      </c>
      <c r="L260" s="4">
        <f>VLOOKUP($C260,Products!$A$1:$E$21,5,TRUE)</f>
        <v>210</v>
      </c>
      <c r="M260" s="4">
        <f t="shared" si="32"/>
        <v>490</v>
      </c>
      <c r="N260" s="4">
        <f t="shared" si="33"/>
        <v>1470</v>
      </c>
      <c r="O260" s="4">
        <f t="shared" si="34"/>
        <v>980</v>
      </c>
      <c r="P260" s="5">
        <f t="shared" si="35"/>
        <v>0.66666666666666663</v>
      </c>
      <c r="Q260" s="3" t="str">
        <f t="shared" si="36"/>
        <v>Medium_order</v>
      </c>
      <c r="R260" s="3" t="str">
        <f t="shared" si="37"/>
        <v>Young</v>
      </c>
      <c r="S260" s="11" t="str">
        <f t="shared" si="38"/>
        <v>High_profit</v>
      </c>
      <c r="T260" s="13" t="str">
        <f t="shared" si="39"/>
        <v>Aug</v>
      </c>
    </row>
    <row r="261" spans="1:20" x14ac:dyDescent="0.3">
      <c r="A261" s="9">
        <v>45639</v>
      </c>
      <c r="B261" s="3">
        <v>3260</v>
      </c>
      <c r="C261" s="3">
        <v>1019</v>
      </c>
      <c r="D261" s="3">
        <v>2017</v>
      </c>
      <c r="E261" s="3">
        <v>9</v>
      </c>
      <c r="F261" s="3">
        <f>VLOOKUP(Sheet1!$D261,Customers!$A$1:$D$51,2,TRUE)</f>
        <v>32</v>
      </c>
      <c r="G261" s="3" t="str">
        <f>VLOOKUP(Sheet1!$D261,Customers!$A$1:$D$51,3,TRUE)</f>
        <v>Male</v>
      </c>
      <c r="H261" s="3" t="str">
        <f>VLOOKUP(Sheet1!$D261,Customers!$A$1:$D$51,4,TRUE)</f>
        <v>Delhi</v>
      </c>
      <c r="I261" s="3" t="str">
        <f>VLOOKUP($C261,Products!$A$1:$E$21,2,TRUE)</f>
        <v>Skipping Rope</v>
      </c>
      <c r="J261" s="3" t="str">
        <f>VLOOKUP($C261,Products!$A$1:$E$21,3,TRUE)</f>
        <v>Fitness</v>
      </c>
      <c r="K261" s="4">
        <f>VLOOKUP($C261,Products!$A$1:$E$21,4,TRUE)</f>
        <v>140</v>
      </c>
      <c r="L261" s="4">
        <f>VLOOKUP($C261,Products!$A$1:$E$21,5,TRUE)</f>
        <v>270</v>
      </c>
      <c r="M261" s="4">
        <f t="shared" si="32"/>
        <v>1260</v>
      </c>
      <c r="N261" s="4">
        <f t="shared" si="33"/>
        <v>2430</v>
      </c>
      <c r="O261" s="4">
        <f t="shared" si="34"/>
        <v>1170</v>
      </c>
      <c r="P261" s="5">
        <f t="shared" si="35"/>
        <v>0.48148148148148145</v>
      </c>
      <c r="Q261" s="3" t="str">
        <f t="shared" si="36"/>
        <v>High_order</v>
      </c>
      <c r="R261" s="3" t="str">
        <f t="shared" si="37"/>
        <v>Middle_age</v>
      </c>
      <c r="S261" s="11" t="str">
        <f t="shared" si="38"/>
        <v>High_profit</v>
      </c>
      <c r="T261" s="13" t="str">
        <f t="shared" si="39"/>
        <v>Dec</v>
      </c>
    </row>
    <row r="262" spans="1:20" x14ac:dyDescent="0.3">
      <c r="A262" s="9">
        <v>45579</v>
      </c>
      <c r="B262" s="3">
        <v>3261</v>
      </c>
      <c r="C262" s="3">
        <v>1016</v>
      </c>
      <c r="D262" s="3">
        <v>2040</v>
      </c>
      <c r="E262" s="3">
        <v>5</v>
      </c>
      <c r="F262" s="3">
        <f>VLOOKUP(Sheet1!$D262,Customers!$A$1:$D$51,2,TRUE)</f>
        <v>40</v>
      </c>
      <c r="G262" s="3" t="str">
        <f>VLOOKUP(Sheet1!$D262,Customers!$A$1:$D$51,3,TRUE)</f>
        <v>Male</v>
      </c>
      <c r="H262" s="3" t="str">
        <f>VLOOKUP(Sheet1!$D262,Customers!$A$1:$D$51,4,TRUE)</f>
        <v>Hyderabad</v>
      </c>
      <c r="I262" s="3" t="str">
        <f>VLOOKUP($C262,Products!$A$1:$E$21,2,TRUE)</f>
        <v>Yoga Mat</v>
      </c>
      <c r="J262" s="3" t="str">
        <f>VLOOKUP($C262,Products!$A$1:$E$21,3,TRUE)</f>
        <v>Fitness</v>
      </c>
      <c r="K262" s="4">
        <f>VLOOKUP($C262,Products!$A$1:$E$21,4,TRUE)</f>
        <v>330</v>
      </c>
      <c r="L262" s="4">
        <f>VLOOKUP($C262,Products!$A$1:$E$21,5,TRUE)</f>
        <v>490</v>
      </c>
      <c r="M262" s="4">
        <f t="shared" si="32"/>
        <v>1650</v>
      </c>
      <c r="N262" s="4">
        <f t="shared" si="33"/>
        <v>2450</v>
      </c>
      <c r="O262" s="4">
        <f t="shared" si="34"/>
        <v>800</v>
      </c>
      <c r="P262" s="5">
        <f t="shared" si="35"/>
        <v>0.32653061224489793</v>
      </c>
      <c r="Q262" s="3" t="str">
        <f t="shared" si="36"/>
        <v>High_order</v>
      </c>
      <c r="R262" s="3" t="str">
        <f t="shared" si="37"/>
        <v>Middle_age</v>
      </c>
      <c r="S262" s="11" t="str">
        <f t="shared" si="38"/>
        <v>Medium_profit</v>
      </c>
      <c r="T262" s="13" t="str">
        <f t="shared" si="39"/>
        <v>Oct</v>
      </c>
    </row>
    <row r="263" spans="1:20" x14ac:dyDescent="0.3">
      <c r="A263" s="9">
        <v>45480</v>
      </c>
      <c r="B263" s="3">
        <v>3262</v>
      </c>
      <c r="C263" s="3">
        <v>1016</v>
      </c>
      <c r="D263" s="3">
        <v>2004</v>
      </c>
      <c r="E263" s="3">
        <v>1</v>
      </c>
      <c r="F263" s="3">
        <f>VLOOKUP(Sheet1!$D263,Customers!$A$1:$D$51,2,TRUE)</f>
        <v>25</v>
      </c>
      <c r="G263" s="3" t="str">
        <f>VLOOKUP(Sheet1!$D263,Customers!$A$1:$D$51,3,TRUE)</f>
        <v>Male</v>
      </c>
      <c r="H263" s="3" t="str">
        <f>VLOOKUP(Sheet1!$D263,Customers!$A$1:$D$51,4,TRUE)</f>
        <v>Pune</v>
      </c>
      <c r="I263" s="3" t="str">
        <f>VLOOKUP($C263,Products!$A$1:$E$21,2,TRUE)</f>
        <v>Yoga Mat</v>
      </c>
      <c r="J263" s="3" t="str">
        <f>VLOOKUP($C263,Products!$A$1:$E$21,3,TRUE)</f>
        <v>Fitness</v>
      </c>
      <c r="K263" s="4">
        <f>VLOOKUP($C263,Products!$A$1:$E$21,4,TRUE)</f>
        <v>330</v>
      </c>
      <c r="L263" s="4">
        <f>VLOOKUP($C263,Products!$A$1:$E$21,5,TRUE)</f>
        <v>490</v>
      </c>
      <c r="M263" s="4">
        <f t="shared" si="32"/>
        <v>330</v>
      </c>
      <c r="N263" s="4">
        <f t="shared" si="33"/>
        <v>490</v>
      </c>
      <c r="O263" s="4">
        <f t="shared" si="34"/>
        <v>160</v>
      </c>
      <c r="P263" s="5">
        <f t="shared" si="35"/>
        <v>0.32653061224489793</v>
      </c>
      <c r="Q263" s="3" t="str">
        <f t="shared" si="36"/>
        <v>Low_order</v>
      </c>
      <c r="R263" s="3" t="str">
        <f t="shared" si="37"/>
        <v>Young</v>
      </c>
      <c r="S263" s="11" t="str">
        <f t="shared" si="38"/>
        <v>Medium_profit</v>
      </c>
      <c r="T263" s="13" t="str">
        <f t="shared" si="39"/>
        <v>Jul</v>
      </c>
    </row>
    <row r="264" spans="1:20" x14ac:dyDescent="0.3">
      <c r="A264" s="9">
        <v>45392</v>
      </c>
      <c r="B264" s="3">
        <v>3263</v>
      </c>
      <c r="C264" s="3">
        <v>1020</v>
      </c>
      <c r="D264" s="3">
        <v>2007</v>
      </c>
      <c r="E264" s="3">
        <v>4</v>
      </c>
      <c r="F264" s="3">
        <f>VLOOKUP(Sheet1!$D264,Customers!$A$1:$D$51,2,TRUE)</f>
        <v>34</v>
      </c>
      <c r="G264" s="3" t="str">
        <f>VLOOKUP(Sheet1!$D264,Customers!$A$1:$D$51,3,TRUE)</f>
        <v>Male</v>
      </c>
      <c r="H264" s="3" t="str">
        <f>VLOOKUP(Sheet1!$D264,Customers!$A$1:$D$51,4,TRUE)</f>
        <v>Bangalore</v>
      </c>
      <c r="I264" s="3" t="str">
        <f>VLOOKUP($C264,Products!$A$1:$E$21,2,TRUE)</f>
        <v>Water Bottle</v>
      </c>
      <c r="J264" s="3" t="str">
        <f>VLOOKUP($C264,Products!$A$1:$E$21,3,TRUE)</f>
        <v>Fitness</v>
      </c>
      <c r="K264" s="4">
        <f>VLOOKUP($C264,Products!$A$1:$E$21,4,TRUE)</f>
        <v>400</v>
      </c>
      <c r="L264" s="4">
        <f>VLOOKUP($C264,Products!$A$1:$E$21,5,TRUE)</f>
        <v>560</v>
      </c>
      <c r="M264" s="4">
        <f t="shared" si="32"/>
        <v>1600</v>
      </c>
      <c r="N264" s="4">
        <f t="shared" si="33"/>
        <v>2240</v>
      </c>
      <c r="O264" s="4">
        <f t="shared" si="34"/>
        <v>640</v>
      </c>
      <c r="P264" s="5">
        <f t="shared" si="35"/>
        <v>0.2857142857142857</v>
      </c>
      <c r="Q264" s="3" t="str">
        <f t="shared" si="36"/>
        <v>Medium_order</v>
      </c>
      <c r="R264" s="3" t="str">
        <f t="shared" si="37"/>
        <v>Middle_age</v>
      </c>
      <c r="S264" s="11" t="str">
        <f t="shared" si="38"/>
        <v>Low_profit</v>
      </c>
      <c r="T264" s="13" t="str">
        <f t="shared" si="39"/>
        <v>Apr</v>
      </c>
    </row>
    <row r="265" spans="1:20" x14ac:dyDescent="0.3">
      <c r="A265" s="9">
        <v>45636</v>
      </c>
      <c r="B265" s="3">
        <v>3264</v>
      </c>
      <c r="C265" s="3">
        <v>1010</v>
      </c>
      <c r="D265" s="3">
        <v>2017</v>
      </c>
      <c r="E265" s="3">
        <v>6</v>
      </c>
      <c r="F265" s="3">
        <f>VLOOKUP(Sheet1!$D265,Customers!$A$1:$D$51,2,TRUE)</f>
        <v>32</v>
      </c>
      <c r="G265" s="3" t="str">
        <f>VLOOKUP(Sheet1!$D265,Customers!$A$1:$D$51,3,TRUE)</f>
        <v>Male</v>
      </c>
      <c r="H265" s="3" t="str">
        <f>VLOOKUP(Sheet1!$D265,Customers!$A$1:$D$51,4,TRUE)</f>
        <v>Delhi</v>
      </c>
      <c r="I265" s="3" t="str">
        <f>VLOOKUP($C265,Products!$A$1:$E$21,2,TRUE)</f>
        <v>Laptop Sleeve</v>
      </c>
      <c r="J265" s="3" t="str">
        <f>VLOOKUP($C265,Products!$A$1:$E$21,3,TRUE)</f>
        <v>Accessories</v>
      </c>
      <c r="K265" s="4">
        <f>VLOOKUP($C265,Products!$A$1:$E$21,4,TRUE)</f>
        <v>290</v>
      </c>
      <c r="L265" s="4">
        <f>VLOOKUP($C265,Products!$A$1:$E$21,5,TRUE)</f>
        <v>470</v>
      </c>
      <c r="M265" s="4">
        <f t="shared" si="32"/>
        <v>1740</v>
      </c>
      <c r="N265" s="4">
        <f t="shared" si="33"/>
        <v>2820</v>
      </c>
      <c r="O265" s="4">
        <f t="shared" si="34"/>
        <v>1080</v>
      </c>
      <c r="P265" s="5">
        <f t="shared" si="35"/>
        <v>0.38297872340425532</v>
      </c>
      <c r="Q265" s="3" t="str">
        <f t="shared" si="36"/>
        <v>High_order</v>
      </c>
      <c r="R265" s="3" t="str">
        <f t="shared" si="37"/>
        <v>Middle_age</v>
      </c>
      <c r="S265" s="11" t="str">
        <f t="shared" si="38"/>
        <v>Medium_profit</v>
      </c>
      <c r="T265" s="13" t="str">
        <f t="shared" si="39"/>
        <v>Dec</v>
      </c>
    </row>
    <row r="266" spans="1:20" x14ac:dyDescent="0.3">
      <c r="A266" s="9">
        <v>45310</v>
      </c>
      <c r="B266" s="3">
        <v>3265</v>
      </c>
      <c r="C266" s="3">
        <v>1016</v>
      </c>
      <c r="D266" s="3">
        <v>2025</v>
      </c>
      <c r="E266" s="3">
        <v>8</v>
      </c>
      <c r="F266" s="3">
        <f>VLOOKUP(Sheet1!$D266,Customers!$A$1:$D$51,2,TRUE)</f>
        <v>34</v>
      </c>
      <c r="G266" s="3" t="str">
        <f>VLOOKUP(Sheet1!$D266,Customers!$A$1:$D$51,3,TRUE)</f>
        <v>Male</v>
      </c>
      <c r="H266" s="3" t="str">
        <f>VLOOKUP(Sheet1!$D266,Customers!$A$1:$D$51,4,TRUE)</f>
        <v>Delhi</v>
      </c>
      <c r="I266" s="3" t="str">
        <f>VLOOKUP($C266,Products!$A$1:$E$21,2,TRUE)</f>
        <v>Yoga Mat</v>
      </c>
      <c r="J266" s="3" t="str">
        <f>VLOOKUP($C266,Products!$A$1:$E$21,3,TRUE)</f>
        <v>Fitness</v>
      </c>
      <c r="K266" s="4">
        <f>VLOOKUP($C266,Products!$A$1:$E$21,4,TRUE)</f>
        <v>330</v>
      </c>
      <c r="L266" s="4">
        <f>VLOOKUP($C266,Products!$A$1:$E$21,5,TRUE)</f>
        <v>490</v>
      </c>
      <c r="M266" s="4">
        <f t="shared" si="32"/>
        <v>2640</v>
      </c>
      <c r="N266" s="4">
        <f t="shared" si="33"/>
        <v>3920</v>
      </c>
      <c r="O266" s="4">
        <f t="shared" si="34"/>
        <v>1280</v>
      </c>
      <c r="P266" s="5">
        <f t="shared" si="35"/>
        <v>0.32653061224489793</v>
      </c>
      <c r="Q266" s="3" t="str">
        <f t="shared" si="36"/>
        <v>High_order</v>
      </c>
      <c r="R266" s="3" t="str">
        <f t="shared" si="37"/>
        <v>Middle_age</v>
      </c>
      <c r="S266" s="11" t="str">
        <f t="shared" si="38"/>
        <v>Medium_profit</v>
      </c>
      <c r="T266" s="13" t="str">
        <f t="shared" si="39"/>
        <v>Jan</v>
      </c>
    </row>
    <row r="267" spans="1:20" x14ac:dyDescent="0.3">
      <c r="A267" s="9">
        <v>45314</v>
      </c>
      <c r="B267" s="3">
        <v>3266</v>
      </c>
      <c r="C267" s="3">
        <v>1015</v>
      </c>
      <c r="D267" s="3">
        <v>2017</v>
      </c>
      <c r="E267" s="3">
        <v>2</v>
      </c>
      <c r="F267" s="3">
        <f>VLOOKUP(Sheet1!$D267,Customers!$A$1:$D$51,2,TRUE)</f>
        <v>32</v>
      </c>
      <c r="G267" s="3" t="str">
        <f>VLOOKUP(Sheet1!$D267,Customers!$A$1:$D$51,3,TRUE)</f>
        <v>Male</v>
      </c>
      <c r="H267" s="3" t="str">
        <f>VLOOKUP(Sheet1!$D267,Customers!$A$1:$D$51,4,TRUE)</f>
        <v>Delhi</v>
      </c>
      <c r="I267" s="3" t="str">
        <f>VLOOKUP($C267,Products!$A$1:$E$21,2,TRUE)</f>
        <v>Organizer</v>
      </c>
      <c r="J267" s="3" t="str">
        <f>VLOOKUP($C267,Products!$A$1:$E$21,3,TRUE)</f>
        <v>Office</v>
      </c>
      <c r="K267" s="4">
        <f>VLOOKUP($C267,Products!$A$1:$E$21,4,TRUE)</f>
        <v>70</v>
      </c>
      <c r="L267" s="4">
        <f>VLOOKUP($C267,Products!$A$1:$E$21,5,TRUE)</f>
        <v>210</v>
      </c>
      <c r="M267" s="4">
        <f t="shared" si="32"/>
        <v>140</v>
      </c>
      <c r="N267" s="4">
        <f t="shared" si="33"/>
        <v>420</v>
      </c>
      <c r="O267" s="4">
        <f t="shared" si="34"/>
        <v>280</v>
      </c>
      <c r="P267" s="5">
        <f t="shared" si="35"/>
        <v>0.66666666666666663</v>
      </c>
      <c r="Q267" s="3" t="str">
        <f t="shared" si="36"/>
        <v>Low_order</v>
      </c>
      <c r="R267" s="3" t="str">
        <f t="shared" si="37"/>
        <v>Middle_age</v>
      </c>
      <c r="S267" s="11" t="str">
        <f t="shared" si="38"/>
        <v>High_profit</v>
      </c>
      <c r="T267" s="13" t="str">
        <f t="shared" si="39"/>
        <v>Jan</v>
      </c>
    </row>
    <row r="268" spans="1:20" x14ac:dyDescent="0.3">
      <c r="A268" s="9">
        <v>45311</v>
      </c>
      <c r="B268" s="3">
        <v>3267</v>
      </c>
      <c r="C268" s="3">
        <v>1019</v>
      </c>
      <c r="D268" s="3">
        <v>2020</v>
      </c>
      <c r="E268" s="3">
        <v>10</v>
      </c>
      <c r="F268" s="3">
        <f>VLOOKUP(Sheet1!$D268,Customers!$A$1:$D$51,2,TRUE)</f>
        <v>27</v>
      </c>
      <c r="G268" s="3" t="str">
        <f>VLOOKUP(Sheet1!$D268,Customers!$A$1:$D$51,3,TRUE)</f>
        <v>Male</v>
      </c>
      <c r="H268" s="3" t="str">
        <f>VLOOKUP(Sheet1!$D268,Customers!$A$1:$D$51,4,TRUE)</f>
        <v>Chandigarh</v>
      </c>
      <c r="I268" s="3" t="str">
        <f>VLOOKUP($C268,Products!$A$1:$E$21,2,TRUE)</f>
        <v>Skipping Rope</v>
      </c>
      <c r="J268" s="3" t="str">
        <f>VLOOKUP($C268,Products!$A$1:$E$21,3,TRUE)</f>
        <v>Fitness</v>
      </c>
      <c r="K268" s="4">
        <f>VLOOKUP($C268,Products!$A$1:$E$21,4,TRUE)</f>
        <v>140</v>
      </c>
      <c r="L268" s="4">
        <f>VLOOKUP($C268,Products!$A$1:$E$21,5,TRUE)</f>
        <v>270</v>
      </c>
      <c r="M268" s="4">
        <f t="shared" si="32"/>
        <v>1400</v>
      </c>
      <c r="N268" s="4">
        <f t="shared" si="33"/>
        <v>2700</v>
      </c>
      <c r="O268" s="4">
        <f t="shared" si="34"/>
        <v>1300</v>
      </c>
      <c r="P268" s="5">
        <f t="shared" si="35"/>
        <v>0.48148148148148145</v>
      </c>
      <c r="Q268" s="3" t="str">
        <f t="shared" si="36"/>
        <v>High_order</v>
      </c>
      <c r="R268" s="3" t="str">
        <f t="shared" si="37"/>
        <v>Young</v>
      </c>
      <c r="S268" s="11" t="str">
        <f t="shared" si="38"/>
        <v>High_profit</v>
      </c>
      <c r="T268" s="13" t="str">
        <f t="shared" si="39"/>
        <v>Jan</v>
      </c>
    </row>
    <row r="269" spans="1:20" x14ac:dyDescent="0.3">
      <c r="A269" s="9">
        <v>45293</v>
      </c>
      <c r="B269" s="3">
        <v>3268</v>
      </c>
      <c r="C269" s="3">
        <v>1018</v>
      </c>
      <c r="D269" s="3">
        <v>2047</v>
      </c>
      <c r="E269" s="3">
        <v>9</v>
      </c>
      <c r="F269" s="3">
        <f>VLOOKUP(Sheet1!$D269,Customers!$A$1:$D$51,2,TRUE)</f>
        <v>28</v>
      </c>
      <c r="G269" s="3" t="str">
        <f>VLOOKUP(Sheet1!$D269,Customers!$A$1:$D$51,3,TRUE)</f>
        <v>Male</v>
      </c>
      <c r="H269" s="3" t="str">
        <f>VLOOKUP(Sheet1!$D269,Customers!$A$1:$D$51,4,TRUE)</f>
        <v>Chandigarh</v>
      </c>
      <c r="I269" s="3" t="str">
        <f>VLOOKUP($C269,Products!$A$1:$E$21,2,TRUE)</f>
        <v>Resistance Band</v>
      </c>
      <c r="J269" s="3" t="str">
        <f>VLOOKUP($C269,Products!$A$1:$E$21,3,TRUE)</f>
        <v>Fitness</v>
      </c>
      <c r="K269" s="4">
        <f>VLOOKUP($C269,Products!$A$1:$E$21,4,TRUE)</f>
        <v>310</v>
      </c>
      <c r="L269" s="4">
        <f>VLOOKUP($C269,Products!$A$1:$E$21,5,TRUE)</f>
        <v>480</v>
      </c>
      <c r="M269" s="4">
        <f t="shared" si="32"/>
        <v>2790</v>
      </c>
      <c r="N269" s="4">
        <f t="shared" si="33"/>
        <v>4320</v>
      </c>
      <c r="O269" s="4">
        <f t="shared" si="34"/>
        <v>1530</v>
      </c>
      <c r="P269" s="5">
        <f t="shared" si="35"/>
        <v>0.35416666666666669</v>
      </c>
      <c r="Q269" s="3" t="str">
        <f t="shared" si="36"/>
        <v>High_order</v>
      </c>
      <c r="R269" s="3" t="str">
        <f t="shared" si="37"/>
        <v>Young</v>
      </c>
      <c r="S269" s="11" t="str">
        <f t="shared" si="38"/>
        <v>Medium_profit</v>
      </c>
      <c r="T269" s="13" t="str">
        <f t="shared" si="39"/>
        <v>Jan</v>
      </c>
    </row>
    <row r="270" spans="1:20" x14ac:dyDescent="0.3">
      <c r="A270" s="9">
        <v>45531</v>
      </c>
      <c r="B270" s="3">
        <v>3269</v>
      </c>
      <c r="C270" s="3">
        <v>1008</v>
      </c>
      <c r="D270" s="3">
        <v>2006</v>
      </c>
      <c r="E270" s="3">
        <v>5</v>
      </c>
      <c r="F270" s="3">
        <f>VLOOKUP(Sheet1!$D270,Customers!$A$1:$D$51,2,TRUE)</f>
        <v>32</v>
      </c>
      <c r="G270" s="3" t="str">
        <f>VLOOKUP(Sheet1!$D270,Customers!$A$1:$D$51,3,TRUE)</f>
        <v>Male</v>
      </c>
      <c r="H270" s="3" t="str">
        <f>VLOOKUP(Sheet1!$D270,Customers!$A$1:$D$51,4,TRUE)</f>
        <v>Hyderabad</v>
      </c>
      <c r="I270" s="3" t="str">
        <f>VLOOKUP($C270,Products!$A$1:$E$21,2,TRUE)</f>
        <v>USB Cable</v>
      </c>
      <c r="J270" s="3" t="str">
        <f>VLOOKUP($C270,Products!$A$1:$E$21,3,TRUE)</f>
        <v>Accessories</v>
      </c>
      <c r="K270" s="4">
        <f>VLOOKUP($C270,Products!$A$1:$E$21,4,TRUE)</f>
        <v>340</v>
      </c>
      <c r="L270" s="4">
        <f>VLOOKUP($C270,Products!$A$1:$E$21,5,TRUE)</f>
        <v>430</v>
      </c>
      <c r="M270" s="4">
        <f t="shared" si="32"/>
        <v>1700</v>
      </c>
      <c r="N270" s="4">
        <f t="shared" si="33"/>
        <v>2150</v>
      </c>
      <c r="O270" s="4">
        <f t="shared" si="34"/>
        <v>450</v>
      </c>
      <c r="P270" s="5">
        <f t="shared" si="35"/>
        <v>0.20930232558139536</v>
      </c>
      <c r="Q270" s="3" t="str">
        <f t="shared" si="36"/>
        <v>Medium_order</v>
      </c>
      <c r="R270" s="3" t="str">
        <f t="shared" si="37"/>
        <v>Middle_age</v>
      </c>
      <c r="S270" s="11" t="str">
        <f t="shared" si="38"/>
        <v>Low_profit</v>
      </c>
      <c r="T270" s="13" t="str">
        <f t="shared" si="39"/>
        <v>Aug</v>
      </c>
    </row>
    <row r="271" spans="1:20" x14ac:dyDescent="0.3">
      <c r="A271" s="9">
        <v>45377</v>
      </c>
      <c r="B271" s="3">
        <v>3270</v>
      </c>
      <c r="C271" s="3">
        <v>1019</v>
      </c>
      <c r="D271" s="3">
        <v>2012</v>
      </c>
      <c r="E271" s="3">
        <v>7</v>
      </c>
      <c r="F271" s="3">
        <f>VLOOKUP(Sheet1!$D271,Customers!$A$1:$D$51,2,TRUE)</f>
        <v>21</v>
      </c>
      <c r="G271" s="3" t="str">
        <f>VLOOKUP(Sheet1!$D271,Customers!$A$1:$D$51,3,TRUE)</f>
        <v>Female</v>
      </c>
      <c r="H271" s="3" t="str">
        <f>VLOOKUP(Sheet1!$D271,Customers!$A$1:$D$51,4,TRUE)</f>
        <v>Hyderabad</v>
      </c>
      <c r="I271" s="3" t="str">
        <f>VLOOKUP($C271,Products!$A$1:$E$21,2,TRUE)</f>
        <v>Skipping Rope</v>
      </c>
      <c r="J271" s="3" t="str">
        <f>VLOOKUP($C271,Products!$A$1:$E$21,3,TRUE)</f>
        <v>Fitness</v>
      </c>
      <c r="K271" s="4">
        <f>VLOOKUP($C271,Products!$A$1:$E$21,4,TRUE)</f>
        <v>140</v>
      </c>
      <c r="L271" s="4">
        <f>VLOOKUP($C271,Products!$A$1:$E$21,5,TRUE)</f>
        <v>270</v>
      </c>
      <c r="M271" s="4">
        <f t="shared" si="32"/>
        <v>980</v>
      </c>
      <c r="N271" s="4">
        <f t="shared" si="33"/>
        <v>1890</v>
      </c>
      <c r="O271" s="4">
        <f t="shared" si="34"/>
        <v>910</v>
      </c>
      <c r="P271" s="5">
        <f t="shared" si="35"/>
        <v>0.48148148148148145</v>
      </c>
      <c r="Q271" s="3" t="str">
        <f t="shared" si="36"/>
        <v>Medium_order</v>
      </c>
      <c r="R271" s="3" t="str">
        <f t="shared" si="37"/>
        <v>Young</v>
      </c>
      <c r="S271" s="11" t="str">
        <f t="shared" si="38"/>
        <v>High_profit</v>
      </c>
      <c r="T271" s="13" t="str">
        <f t="shared" si="39"/>
        <v>Mar</v>
      </c>
    </row>
    <row r="272" spans="1:20" x14ac:dyDescent="0.3">
      <c r="A272" s="9">
        <v>45429</v>
      </c>
      <c r="B272" s="3">
        <v>3271</v>
      </c>
      <c r="C272" s="3">
        <v>1004</v>
      </c>
      <c r="D272" s="3">
        <v>2017</v>
      </c>
      <c r="E272" s="3">
        <v>7</v>
      </c>
      <c r="F272" s="3">
        <f>VLOOKUP(Sheet1!$D272,Customers!$A$1:$D$51,2,TRUE)</f>
        <v>32</v>
      </c>
      <c r="G272" s="3" t="str">
        <f>VLOOKUP(Sheet1!$D272,Customers!$A$1:$D$51,3,TRUE)</f>
        <v>Male</v>
      </c>
      <c r="H272" s="3" t="str">
        <f>VLOOKUP(Sheet1!$D272,Customers!$A$1:$D$51,4,TRUE)</f>
        <v>Delhi</v>
      </c>
      <c r="I272" s="3" t="str">
        <f>VLOOKUP($C272,Products!$A$1:$E$21,2,TRUE)</f>
        <v>Speaker</v>
      </c>
      <c r="J272" s="3" t="str">
        <f>VLOOKUP($C272,Products!$A$1:$E$21,3,TRUE)</f>
        <v>Electronics</v>
      </c>
      <c r="K272" s="4">
        <f>VLOOKUP($C272,Products!$A$1:$E$21,4,TRUE)</f>
        <v>230</v>
      </c>
      <c r="L272" s="4">
        <f>VLOOKUP($C272,Products!$A$1:$E$21,5,TRUE)</f>
        <v>440</v>
      </c>
      <c r="M272" s="4">
        <f t="shared" si="32"/>
        <v>1610</v>
      </c>
      <c r="N272" s="4">
        <f t="shared" si="33"/>
        <v>3080</v>
      </c>
      <c r="O272" s="4">
        <f t="shared" si="34"/>
        <v>1470</v>
      </c>
      <c r="P272" s="5">
        <f t="shared" si="35"/>
        <v>0.47727272727272729</v>
      </c>
      <c r="Q272" s="3" t="str">
        <f t="shared" si="36"/>
        <v>High_order</v>
      </c>
      <c r="R272" s="3" t="str">
        <f t="shared" si="37"/>
        <v>Middle_age</v>
      </c>
      <c r="S272" s="11" t="str">
        <f t="shared" si="38"/>
        <v>High_profit</v>
      </c>
      <c r="T272" s="13" t="str">
        <f t="shared" si="39"/>
        <v>May</v>
      </c>
    </row>
    <row r="273" spans="1:20" x14ac:dyDescent="0.3">
      <c r="A273" s="9">
        <v>45489</v>
      </c>
      <c r="B273" s="3">
        <v>3272</v>
      </c>
      <c r="C273" s="3">
        <v>1018</v>
      </c>
      <c r="D273" s="3">
        <v>2021</v>
      </c>
      <c r="E273" s="3">
        <v>5</v>
      </c>
      <c r="F273" s="3">
        <f>VLOOKUP(Sheet1!$D273,Customers!$A$1:$D$51,2,TRUE)</f>
        <v>28</v>
      </c>
      <c r="G273" s="3" t="str">
        <f>VLOOKUP(Sheet1!$D273,Customers!$A$1:$D$51,3,TRUE)</f>
        <v>Male</v>
      </c>
      <c r="H273" s="3" t="str">
        <f>VLOOKUP(Sheet1!$D273,Customers!$A$1:$D$51,4,TRUE)</f>
        <v>Delhi</v>
      </c>
      <c r="I273" s="3" t="str">
        <f>VLOOKUP($C273,Products!$A$1:$E$21,2,TRUE)</f>
        <v>Resistance Band</v>
      </c>
      <c r="J273" s="3" t="str">
        <f>VLOOKUP($C273,Products!$A$1:$E$21,3,TRUE)</f>
        <v>Fitness</v>
      </c>
      <c r="K273" s="4">
        <f>VLOOKUP($C273,Products!$A$1:$E$21,4,TRUE)</f>
        <v>310</v>
      </c>
      <c r="L273" s="4">
        <f>VLOOKUP($C273,Products!$A$1:$E$21,5,TRUE)</f>
        <v>480</v>
      </c>
      <c r="M273" s="4">
        <f t="shared" si="32"/>
        <v>1550</v>
      </c>
      <c r="N273" s="4">
        <f t="shared" si="33"/>
        <v>2400</v>
      </c>
      <c r="O273" s="4">
        <f t="shared" si="34"/>
        <v>850</v>
      </c>
      <c r="P273" s="5">
        <f t="shared" si="35"/>
        <v>0.35416666666666669</v>
      </c>
      <c r="Q273" s="3" t="str">
        <f t="shared" si="36"/>
        <v>Medium_order</v>
      </c>
      <c r="R273" s="3" t="str">
        <f t="shared" si="37"/>
        <v>Young</v>
      </c>
      <c r="S273" s="11" t="str">
        <f t="shared" si="38"/>
        <v>Medium_profit</v>
      </c>
      <c r="T273" s="13" t="str">
        <f t="shared" si="39"/>
        <v>Jul</v>
      </c>
    </row>
    <row r="274" spans="1:20" x14ac:dyDescent="0.3">
      <c r="A274" s="9">
        <v>45476</v>
      </c>
      <c r="B274" s="3">
        <v>3273</v>
      </c>
      <c r="C274" s="3">
        <v>1013</v>
      </c>
      <c r="D274" s="3">
        <v>2003</v>
      </c>
      <c r="E274" s="3">
        <v>7</v>
      </c>
      <c r="F274" s="3">
        <f>VLOOKUP(Sheet1!$D274,Customers!$A$1:$D$51,2,TRUE)</f>
        <v>23</v>
      </c>
      <c r="G274" s="3" t="str">
        <f>VLOOKUP(Sheet1!$D274,Customers!$A$1:$D$51,3,TRUE)</f>
        <v>Female</v>
      </c>
      <c r="H274" s="3" t="str">
        <f>VLOOKUP(Sheet1!$D274,Customers!$A$1:$D$51,4,TRUE)</f>
        <v>Bangalore</v>
      </c>
      <c r="I274" s="3" t="str">
        <f>VLOOKUP($C274,Products!$A$1:$E$21,2,TRUE)</f>
        <v>Desk Lamp</v>
      </c>
      <c r="J274" s="3" t="str">
        <f>VLOOKUP($C274,Products!$A$1:$E$21,3,TRUE)</f>
        <v>Office</v>
      </c>
      <c r="K274" s="4">
        <f>VLOOKUP($C274,Products!$A$1:$E$21,4,TRUE)</f>
        <v>140</v>
      </c>
      <c r="L274" s="4">
        <f>VLOOKUP($C274,Products!$A$1:$E$21,5,TRUE)</f>
        <v>390</v>
      </c>
      <c r="M274" s="4">
        <f t="shared" si="32"/>
        <v>980</v>
      </c>
      <c r="N274" s="4">
        <f t="shared" si="33"/>
        <v>2730</v>
      </c>
      <c r="O274" s="4">
        <f t="shared" si="34"/>
        <v>1750</v>
      </c>
      <c r="P274" s="5">
        <f t="shared" si="35"/>
        <v>0.64102564102564108</v>
      </c>
      <c r="Q274" s="3" t="str">
        <f t="shared" si="36"/>
        <v>High_order</v>
      </c>
      <c r="R274" s="3" t="str">
        <f t="shared" si="37"/>
        <v>Young</v>
      </c>
      <c r="S274" s="11" t="str">
        <f t="shared" si="38"/>
        <v>High_profit</v>
      </c>
      <c r="T274" s="13" t="str">
        <f t="shared" si="39"/>
        <v>Jul</v>
      </c>
    </row>
    <row r="275" spans="1:20" x14ac:dyDescent="0.3">
      <c r="A275" s="9">
        <v>45420</v>
      </c>
      <c r="B275" s="3">
        <v>3274</v>
      </c>
      <c r="C275" s="3">
        <v>1014</v>
      </c>
      <c r="D275" s="3">
        <v>2040</v>
      </c>
      <c r="E275" s="3">
        <v>2</v>
      </c>
      <c r="F275" s="3">
        <f>VLOOKUP(Sheet1!$D275,Customers!$A$1:$D$51,2,TRUE)</f>
        <v>40</v>
      </c>
      <c r="G275" s="3" t="str">
        <f>VLOOKUP(Sheet1!$D275,Customers!$A$1:$D$51,3,TRUE)</f>
        <v>Male</v>
      </c>
      <c r="H275" s="3" t="str">
        <f>VLOOKUP(Sheet1!$D275,Customers!$A$1:$D$51,4,TRUE)</f>
        <v>Hyderabad</v>
      </c>
      <c r="I275" s="3" t="str">
        <f>VLOOKUP($C275,Products!$A$1:$E$21,2,TRUE)</f>
        <v>Stapler</v>
      </c>
      <c r="J275" s="3" t="str">
        <f>VLOOKUP($C275,Products!$A$1:$E$21,3,TRUE)</f>
        <v>Office</v>
      </c>
      <c r="K275" s="4">
        <f>VLOOKUP($C275,Products!$A$1:$E$21,4,TRUE)</f>
        <v>170</v>
      </c>
      <c r="L275" s="4">
        <f>VLOOKUP($C275,Products!$A$1:$E$21,5,TRUE)</f>
        <v>280</v>
      </c>
      <c r="M275" s="4">
        <f t="shared" si="32"/>
        <v>340</v>
      </c>
      <c r="N275" s="4">
        <f t="shared" si="33"/>
        <v>560</v>
      </c>
      <c r="O275" s="4">
        <f t="shared" si="34"/>
        <v>220</v>
      </c>
      <c r="P275" s="5">
        <f t="shared" si="35"/>
        <v>0.39285714285714285</v>
      </c>
      <c r="Q275" s="3" t="str">
        <f t="shared" si="36"/>
        <v>Low_order</v>
      </c>
      <c r="R275" s="3" t="str">
        <f t="shared" si="37"/>
        <v>Middle_age</v>
      </c>
      <c r="S275" s="11" t="str">
        <f t="shared" si="38"/>
        <v>Medium_profit</v>
      </c>
      <c r="T275" s="13" t="str">
        <f t="shared" si="39"/>
        <v>May</v>
      </c>
    </row>
    <row r="276" spans="1:20" x14ac:dyDescent="0.3">
      <c r="A276" s="9">
        <v>45308</v>
      </c>
      <c r="B276" s="3">
        <v>3275</v>
      </c>
      <c r="C276" s="3">
        <v>1008</v>
      </c>
      <c r="D276" s="3">
        <v>2020</v>
      </c>
      <c r="E276" s="3">
        <v>6</v>
      </c>
      <c r="F276" s="3">
        <f>VLOOKUP(Sheet1!$D276,Customers!$A$1:$D$51,2,TRUE)</f>
        <v>27</v>
      </c>
      <c r="G276" s="3" t="str">
        <f>VLOOKUP(Sheet1!$D276,Customers!$A$1:$D$51,3,TRUE)</f>
        <v>Male</v>
      </c>
      <c r="H276" s="3" t="str">
        <f>VLOOKUP(Sheet1!$D276,Customers!$A$1:$D$51,4,TRUE)</f>
        <v>Chandigarh</v>
      </c>
      <c r="I276" s="3" t="str">
        <f>VLOOKUP($C276,Products!$A$1:$E$21,2,TRUE)</f>
        <v>USB Cable</v>
      </c>
      <c r="J276" s="3" t="str">
        <f>VLOOKUP($C276,Products!$A$1:$E$21,3,TRUE)</f>
        <v>Accessories</v>
      </c>
      <c r="K276" s="4">
        <f>VLOOKUP($C276,Products!$A$1:$E$21,4,TRUE)</f>
        <v>340</v>
      </c>
      <c r="L276" s="4">
        <f>VLOOKUP($C276,Products!$A$1:$E$21,5,TRUE)</f>
        <v>430</v>
      </c>
      <c r="M276" s="4">
        <f t="shared" si="32"/>
        <v>2040</v>
      </c>
      <c r="N276" s="4">
        <f t="shared" si="33"/>
        <v>2580</v>
      </c>
      <c r="O276" s="4">
        <f t="shared" si="34"/>
        <v>540</v>
      </c>
      <c r="P276" s="5">
        <f t="shared" si="35"/>
        <v>0.20930232558139536</v>
      </c>
      <c r="Q276" s="3" t="str">
        <f t="shared" si="36"/>
        <v>High_order</v>
      </c>
      <c r="R276" s="3" t="str">
        <f t="shared" si="37"/>
        <v>Young</v>
      </c>
      <c r="S276" s="11" t="str">
        <f t="shared" si="38"/>
        <v>Low_profit</v>
      </c>
      <c r="T276" s="13" t="str">
        <f t="shared" si="39"/>
        <v>Jan</v>
      </c>
    </row>
    <row r="277" spans="1:20" x14ac:dyDescent="0.3">
      <c r="A277" s="9">
        <v>45387</v>
      </c>
      <c r="B277" s="3">
        <v>3276</v>
      </c>
      <c r="C277" s="3">
        <v>1008</v>
      </c>
      <c r="D277" s="3">
        <v>2003</v>
      </c>
      <c r="E277" s="3">
        <v>4</v>
      </c>
      <c r="F277" s="3">
        <f>VLOOKUP(Sheet1!$D277,Customers!$A$1:$D$51,2,TRUE)</f>
        <v>23</v>
      </c>
      <c r="G277" s="3" t="str">
        <f>VLOOKUP(Sheet1!$D277,Customers!$A$1:$D$51,3,TRUE)</f>
        <v>Female</v>
      </c>
      <c r="H277" s="3" t="str">
        <f>VLOOKUP(Sheet1!$D277,Customers!$A$1:$D$51,4,TRUE)</f>
        <v>Bangalore</v>
      </c>
      <c r="I277" s="3" t="str">
        <f>VLOOKUP($C277,Products!$A$1:$E$21,2,TRUE)</f>
        <v>USB Cable</v>
      </c>
      <c r="J277" s="3" t="str">
        <f>VLOOKUP($C277,Products!$A$1:$E$21,3,TRUE)</f>
        <v>Accessories</v>
      </c>
      <c r="K277" s="4">
        <f>VLOOKUP($C277,Products!$A$1:$E$21,4,TRUE)</f>
        <v>340</v>
      </c>
      <c r="L277" s="4">
        <f>VLOOKUP($C277,Products!$A$1:$E$21,5,TRUE)</f>
        <v>430</v>
      </c>
      <c r="M277" s="4">
        <f t="shared" si="32"/>
        <v>1360</v>
      </c>
      <c r="N277" s="4">
        <f t="shared" si="33"/>
        <v>1720</v>
      </c>
      <c r="O277" s="4">
        <f t="shared" si="34"/>
        <v>360</v>
      </c>
      <c r="P277" s="5">
        <f t="shared" si="35"/>
        <v>0.20930232558139536</v>
      </c>
      <c r="Q277" s="3" t="str">
        <f t="shared" si="36"/>
        <v>Medium_order</v>
      </c>
      <c r="R277" s="3" t="str">
        <f t="shared" si="37"/>
        <v>Young</v>
      </c>
      <c r="S277" s="11" t="str">
        <f t="shared" si="38"/>
        <v>Low_profit</v>
      </c>
      <c r="T277" s="13" t="str">
        <f t="shared" si="39"/>
        <v>Apr</v>
      </c>
    </row>
    <row r="278" spans="1:20" x14ac:dyDescent="0.3">
      <c r="A278" s="9">
        <v>45436</v>
      </c>
      <c r="B278" s="3">
        <v>3277</v>
      </c>
      <c r="C278" s="3">
        <v>1003</v>
      </c>
      <c r="D278" s="3">
        <v>2034</v>
      </c>
      <c r="E278" s="3">
        <v>1</v>
      </c>
      <c r="F278" s="3">
        <f>VLOOKUP(Sheet1!$D278,Customers!$A$1:$D$51,2,TRUE)</f>
        <v>48</v>
      </c>
      <c r="G278" s="3" t="str">
        <f>VLOOKUP(Sheet1!$D278,Customers!$A$1:$D$51,3,TRUE)</f>
        <v>Female</v>
      </c>
      <c r="H278" s="3" t="str">
        <f>VLOOKUP(Sheet1!$D278,Customers!$A$1:$D$51,4,TRUE)</f>
        <v>Pune</v>
      </c>
      <c r="I278" s="3" t="str">
        <f>VLOOKUP($C278,Products!$A$1:$E$21,2,TRUE)</f>
        <v>Mouse</v>
      </c>
      <c r="J278" s="3" t="str">
        <f>VLOOKUP($C278,Products!$A$1:$E$21,3,TRUE)</f>
        <v>Electronics</v>
      </c>
      <c r="K278" s="4">
        <f>VLOOKUP($C278,Products!$A$1:$E$21,4,TRUE)</f>
        <v>140</v>
      </c>
      <c r="L278" s="4">
        <f>VLOOKUP($C278,Products!$A$1:$E$21,5,TRUE)</f>
        <v>350</v>
      </c>
      <c r="M278" s="4">
        <f t="shared" si="32"/>
        <v>140</v>
      </c>
      <c r="N278" s="4">
        <f t="shared" si="33"/>
        <v>350</v>
      </c>
      <c r="O278" s="4">
        <f t="shared" si="34"/>
        <v>210</v>
      </c>
      <c r="P278" s="5">
        <f t="shared" si="35"/>
        <v>0.6</v>
      </c>
      <c r="Q278" s="3" t="str">
        <f t="shared" si="36"/>
        <v>Low_order</v>
      </c>
      <c r="R278" s="3" t="str">
        <f t="shared" si="37"/>
        <v>Senior</v>
      </c>
      <c r="S278" s="11" t="str">
        <f t="shared" si="38"/>
        <v>High_profit</v>
      </c>
      <c r="T278" s="13" t="str">
        <f t="shared" si="39"/>
        <v>May</v>
      </c>
    </row>
    <row r="279" spans="1:20" x14ac:dyDescent="0.3">
      <c r="A279" s="9">
        <v>45356</v>
      </c>
      <c r="B279" s="3">
        <v>3278</v>
      </c>
      <c r="C279" s="3">
        <v>1009</v>
      </c>
      <c r="D279" s="3">
        <v>2016</v>
      </c>
      <c r="E279" s="3">
        <v>4</v>
      </c>
      <c r="F279" s="3">
        <f>VLOOKUP(Sheet1!$D279,Customers!$A$1:$D$51,2,TRUE)</f>
        <v>29</v>
      </c>
      <c r="G279" s="3" t="str">
        <f>VLOOKUP(Sheet1!$D279,Customers!$A$1:$D$51,3,TRUE)</f>
        <v>Female</v>
      </c>
      <c r="H279" s="3" t="str">
        <f>VLOOKUP(Sheet1!$D279,Customers!$A$1:$D$51,4,TRUE)</f>
        <v>Chandigarh</v>
      </c>
      <c r="I279" s="3" t="str">
        <f>VLOOKUP($C279,Products!$A$1:$E$21,2,TRUE)</f>
        <v>Power Bank</v>
      </c>
      <c r="J279" s="3" t="str">
        <f>VLOOKUP($C279,Products!$A$1:$E$21,3,TRUE)</f>
        <v>Accessories</v>
      </c>
      <c r="K279" s="4">
        <f>VLOOKUP($C279,Products!$A$1:$E$21,4,TRUE)</f>
        <v>50</v>
      </c>
      <c r="L279" s="4">
        <f>VLOOKUP($C279,Products!$A$1:$E$21,5,TRUE)</f>
        <v>220</v>
      </c>
      <c r="M279" s="4">
        <f t="shared" si="32"/>
        <v>200</v>
      </c>
      <c r="N279" s="4">
        <f t="shared" si="33"/>
        <v>880</v>
      </c>
      <c r="O279" s="4">
        <f t="shared" si="34"/>
        <v>680</v>
      </c>
      <c r="P279" s="5">
        <f t="shared" si="35"/>
        <v>0.77272727272727271</v>
      </c>
      <c r="Q279" s="3" t="str">
        <f t="shared" si="36"/>
        <v>Low_order</v>
      </c>
      <c r="R279" s="3" t="str">
        <f t="shared" si="37"/>
        <v>Young</v>
      </c>
      <c r="S279" s="11" t="str">
        <f t="shared" si="38"/>
        <v>High_profit</v>
      </c>
      <c r="T279" s="13" t="str">
        <f t="shared" si="39"/>
        <v>Mar</v>
      </c>
    </row>
    <row r="280" spans="1:20" x14ac:dyDescent="0.3">
      <c r="A280" s="9">
        <v>45536</v>
      </c>
      <c r="B280" s="3">
        <v>3279</v>
      </c>
      <c r="C280" s="3">
        <v>1001</v>
      </c>
      <c r="D280" s="3">
        <v>2034</v>
      </c>
      <c r="E280" s="3">
        <v>7</v>
      </c>
      <c r="F280" s="3">
        <f>VLOOKUP(Sheet1!$D280,Customers!$A$1:$D$51,2,TRUE)</f>
        <v>48</v>
      </c>
      <c r="G280" s="3" t="str">
        <f>VLOOKUP(Sheet1!$D280,Customers!$A$1:$D$51,3,TRUE)</f>
        <v>Female</v>
      </c>
      <c r="H280" s="3" t="str">
        <f>VLOOKUP(Sheet1!$D280,Customers!$A$1:$D$51,4,TRUE)</f>
        <v>Pune</v>
      </c>
      <c r="I280" s="3" t="str">
        <f>VLOOKUP($C280,Products!$A$1:$E$21,2,TRUE)</f>
        <v>Headphones</v>
      </c>
      <c r="J280" s="3" t="str">
        <f>VLOOKUP($C280,Products!$A$1:$E$21,3,TRUE)</f>
        <v>Electronics</v>
      </c>
      <c r="K280" s="4">
        <f>VLOOKUP($C280,Products!$A$1:$E$21,4,TRUE)</f>
        <v>380</v>
      </c>
      <c r="L280" s="4">
        <f>VLOOKUP($C280,Products!$A$1:$E$21,5,TRUE)</f>
        <v>550</v>
      </c>
      <c r="M280" s="4">
        <f t="shared" si="32"/>
        <v>2660</v>
      </c>
      <c r="N280" s="4">
        <f t="shared" si="33"/>
        <v>3850</v>
      </c>
      <c r="O280" s="4">
        <f t="shared" si="34"/>
        <v>1190</v>
      </c>
      <c r="P280" s="5">
        <f t="shared" si="35"/>
        <v>0.30909090909090908</v>
      </c>
      <c r="Q280" s="3" t="str">
        <f t="shared" si="36"/>
        <v>High_order</v>
      </c>
      <c r="R280" s="3" t="str">
        <f t="shared" si="37"/>
        <v>Senior</v>
      </c>
      <c r="S280" s="11" t="str">
        <f t="shared" si="38"/>
        <v>Low_profit</v>
      </c>
      <c r="T280" s="13" t="str">
        <f t="shared" si="39"/>
        <v>Sep</v>
      </c>
    </row>
    <row r="281" spans="1:20" x14ac:dyDescent="0.3">
      <c r="A281" s="9">
        <v>45394</v>
      </c>
      <c r="B281" s="3">
        <v>3280</v>
      </c>
      <c r="C281" s="3">
        <v>1005</v>
      </c>
      <c r="D281" s="3">
        <v>2048</v>
      </c>
      <c r="E281" s="3">
        <v>9</v>
      </c>
      <c r="F281" s="3">
        <f>VLOOKUP(Sheet1!$D281,Customers!$A$1:$D$51,2,TRUE)</f>
        <v>41</v>
      </c>
      <c r="G281" s="3" t="str">
        <f>VLOOKUP(Sheet1!$D281,Customers!$A$1:$D$51,3,TRUE)</f>
        <v>Female</v>
      </c>
      <c r="H281" s="3" t="str">
        <f>VLOOKUP(Sheet1!$D281,Customers!$A$1:$D$51,4,TRUE)</f>
        <v>Mumbai</v>
      </c>
      <c r="I281" s="3" t="str">
        <f>VLOOKUP($C281,Products!$A$1:$E$21,2,TRUE)</f>
        <v>Webcam</v>
      </c>
      <c r="J281" s="3" t="str">
        <f>VLOOKUP($C281,Products!$A$1:$E$21,3,TRUE)</f>
        <v>Electronics</v>
      </c>
      <c r="K281" s="4">
        <f>VLOOKUP($C281,Products!$A$1:$E$21,4,TRUE)</f>
        <v>340</v>
      </c>
      <c r="L281" s="4">
        <f>VLOOKUP($C281,Products!$A$1:$E$21,5,TRUE)</f>
        <v>520</v>
      </c>
      <c r="M281" s="4">
        <f t="shared" si="32"/>
        <v>3060</v>
      </c>
      <c r="N281" s="4">
        <f t="shared" si="33"/>
        <v>4680</v>
      </c>
      <c r="O281" s="4">
        <f t="shared" si="34"/>
        <v>1620</v>
      </c>
      <c r="P281" s="5">
        <f t="shared" si="35"/>
        <v>0.34615384615384615</v>
      </c>
      <c r="Q281" s="3" t="str">
        <f t="shared" si="36"/>
        <v>High_order</v>
      </c>
      <c r="R281" s="3" t="str">
        <f t="shared" si="37"/>
        <v>Senior</v>
      </c>
      <c r="S281" s="11" t="str">
        <f t="shared" si="38"/>
        <v>Medium_profit</v>
      </c>
      <c r="T281" s="13" t="str">
        <f t="shared" si="39"/>
        <v>Apr</v>
      </c>
    </row>
    <row r="282" spans="1:20" x14ac:dyDescent="0.3">
      <c r="A282" s="9">
        <v>45407</v>
      </c>
      <c r="B282" s="3">
        <v>3281</v>
      </c>
      <c r="C282" s="3">
        <v>1011</v>
      </c>
      <c r="D282" s="3">
        <v>2032</v>
      </c>
      <c r="E282" s="3">
        <v>1</v>
      </c>
      <c r="F282" s="3">
        <f>VLOOKUP(Sheet1!$D282,Customers!$A$1:$D$51,2,TRUE)</f>
        <v>42</v>
      </c>
      <c r="G282" s="3" t="str">
        <f>VLOOKUP(Sheet1!$D282,Customers!$A$1:$D$51,3,TRUE)</f>
        <v>Male</v>
      </c>
      <c r="H282" s="3" t="str">
        <f>VLOOKUP(Sheet1!$D282,Customers!$A$1:$D$51,4,TRUE)</f>
        <v>Hyderabad</v>
      </c>
      <c r="I282" s="3" t="str">
        <f>VLOOKUP($C282,Products!$A$1:$E$21,2,TRUE)</f>
        <v>Notebook</v>
      </c>
      <c r="J282" s="3" t="str">
        <f>VLOOKUP($C282,Products!$A$1:$E$21,3,TRUE)</f>
        <v>Office</v>
      </c>
      <c r="K282" s="4">
        <f>VLOOKUP($C282,Products!$A$1:$E$21,4,TRUE)</f>
        <v>120</v>
      </c>
      <c r="L282" s="4">
        <f>VLOOKUP($C282,Products!$A$1:$E$21,5,TRUE)</f>
        <v>180</v>
      </c>
      <c r="M282" s="4">
        <f t="shared" si="32"/>
        <v>120</v>
      </c>
      <c r="N282" s="4">
        <f t="shared" si="33"/>
        <v>180</v>
      </c>
      <c r="O282" s="4">
        <f t="shared" si="34"/>
        <v>60</v>
      </c>
      <c r="P282" s="5">
        <f t="shared" si="35"/>
        <v>0.33333333333333331</v>
      </c>
      <c r="Q282" s="3" t="str">
        <f t="shared" si="36"/>
        <v>Low_order</v>
      </c>
      <c r="R282" s="3" t="str">
        <f t="shared" si="37"/>
        <v>Senior</v>
      </c>
      <c r="S282" s="11" t="str">
        <f t="shared" si="38"/>
        <v>Medium_profit</v>
      </c>
      <c r="T282" s="13" t="str">
        <f t="shared" si="39"/>
        <v>Apr</v>
      </c>
    </row>
    <row r="283" spans="1:20" x14ac:dyDescent="0.3">
      <c r="A283" s="9">
        <v>45334</v>
      </c>
      <c r="B283" s="3">
        <v>3282</v>
      </c>
      <c r="C283" s="3">
        <v>1011</v>
      </c>
      <c r="D283" s="3">
        <v>2048</v>
      </c>
      <c r="E283" s="3">
        <v>2</v>
      </c>
      <c r="F283" s="3">
        <f>VLOOKUP(Sheet1!$D283,Customers!$A$1:$D$51,2,TRUE)</f>
        <v>41</v>
      </c>
      <c r="G283" s="3" t="str">
        <f>VLOOKUP(Sheet1!$D283,Customers!$A$1:$D$51,3,TRUE)</f>
        <v>Female</v>
      </c>
      <c r="H283" s="3" t="str">
        <f>VLOOKUP(Sheet1!$D283,Customers!$A$1:$D$51,4,TRUE)</f>
        <v>Mumbai</v>
      </c>
      <c r="I283" s="3" t="str">
        <f>VLOOKUP($C283,Products!$A$1:$E$21,2,TRUE)</f>
        <v>Notebook</v>
      </c>
      <c r="J283" s="3" t="str">
        <f>VLOOKUP($C283,Products!$A$1:$E$21,3,TRUE)</f>
        <v>Office</v>
      </c>
      <c r="K283" s="4">
        <f>VLOOKUP($C283,Products!$A$1:$E$21,4,TRUE)</f>
        <v>120</v>
      </c>
      <c r="L283" s="4">
        <f>VLOOKUP($C283,Products!$A$1:$E$21,5,TRUE)</f>
        <v>180</v>
      </c>
      <c r="M283" s="4">
        <f t="shared" si="32"/>
        <v>240</v>
      </c>
      <c r="N283" s="4">
        <f t="shared" si="33"/>
        <v>360</v>
      </c>
      <c r="O283" s="4">
        <f t="shared" si="34"/>
        <v>120</v>
      </c>
      <c r="P283" s="5">
        <f t="shared" si="35"/>
        <v>0.33333333333333331</v>
      </c>
      <c r="Q283" s="3" t="str">
        <f t="shared" si="36"/>
        <v>Low_order</v>
      </c>
      <c r="R283" s="3" t="str">
        <f t="shared" si="37"/>
        <v>Senior</v>
      </c>
      <c r="S283" s="11" t="str">
        <f t="shared" si="38"/>
        <v>Medium_profit</v>
      </c>
      <c r="T283" s="13" t="str">
        <f t="shared" si="39"/>
        <v>Feb</v>
      </c>
    </row>
    <row r="284" spans="1:20" x14ac:dyDescent="0.3">
      <c r="A284" s="9">
        <v>45466</v>
      </c>
      <c r="B284" s="3">
        <v>3283</v>
      </c>
      <c r="C284" s="3">
        <v>1018</v>
      </c>
      <c r="D284" s="3">
        <v>2021</v>
      </c>
      <c r="E284" s="3">
        <v>8</v>
      </c>
      <c r="F284" s="3">
        <f>VLOOKUP(Sheet1!$D284,Customers!$A$1:$D$51,2,TRUE)</f>
        <v>28</v>
      </c>
      <c r="G284" s="3" t="str">
        <f>VLOOKUP(Sheet1!$D284,Customers!$A$1:$D$51,3,TRUE)</f>
        <v>Male</v>
      </c>
      <c r="H284" s="3" t="str">
        <f>VLOOKUP(Sheet1!$D284,Customers!$A$1:$D$51,4,TRUE)</f>
        <v>Delhi</v>
      </c>
      <c r="I284" s="3" t="str">
        <f>VLOOKUP($C284,Products!$A$1:$E$21,2,TRUE)</f>
        <v>Resistance Band</v>
      </c>
      <c r="J284" s="3" t="str">
        <f>VLOOKUP($C284,Products!$A$1:$E$21,3,TRUE)</f>
        <v>Fitness</v>
      </c>
      <c r="K284" s="4">
        <f>VLOOKUP($C284,Products!$A$1:$E$21,4,TRUE)</f>
        <v>310</v>
      </c>
      <c r="L284" s="4">
        <f>VLOOKUP($C284,Products!$A$1:$E$21,5,TRUE)</f>
        <v>480</v>
      </c>
      <c r="M284" s="4">
        <f t="shared" si="32"/>
        <v>2480</v>
      </c>
      <c r="N284" s="4">
        <f t="shared" si="33"/>
        <v>3840</v>
      </c>
      <c r="O284" s="4">
        <f t="shared" si="34"/>
        <v>1360</v>
      </c>
      <c r="P284" s="5">
        <f t="shared" si="35"/>
        <v>0.35416666666666669</v>
      </c>
      <c r="Q284" s="3" t="str">
        <f t="shared" si="36"/>
        <v>High_order</v>
      </c>
      <c r="R284" s="3" t="str">
        <f t="shared" si="37"/>
        <v>Young</v>
      </c>
      <c r="S284" s="11" t="str">
        <f t="shared" si="38"/>
        <v>Medium_profit</v>
      </c>
      <c r="T284" s="13" t="str">
        <f t="shared" si="39"/>
        <v>Jun</v>
      </c>
    </row>
    <row r="285" spans="1:20" x14ac:dyDescent="0.3">
      <c r="A285" s="9">
        <v>45578</v>
      </c>
      <c r="B285" s="3">
        <v>3284</v>
      </c>
      <c r="C285" s="3">
        <v>1019</v>
      </c>
      <c r="D285" s="3">
        <v>2037</v>
      </c>
      <c r="E285" s="3">
        <v>5</v>
      </c>
      <c r="F285" s="3">
        <f>VLOOKUP(Sheet1!$D285,Customers!$A$1:$D$51,2,TRUE)</f>
        <v>38</v>
      </c>
      <c r="G285" s="3" t="str">
        <f>VLOOKUP(Sheet1!$D285,Customers!$A$1:$D$51,3,TRUE)</f>
        <v>Male</v>
      </c>
      <c r="H285" s="3" t="str">
        <f>VLOOKUP(Sheet1!$D285,Customers!$A$1:$D$51,4,TRUE)</f>
        <v>Chandigarh</v>
      </c>
      <c r="I285" s="3" t="str">
        <f>VLOOKUP($C285,Products!$A$1:$E$21,2,TRUE)</f>
        <v>Skipping Rope</v>
      </c>
      <c r="J285" s="3" t="str">
        <f>VLOOKUP($C285,Products!$A$1:$E$21,3,TRUE)</f>
        <v>Fitness</v>
      </c>
      <c r="K285" s="4">
        <f>VLOOKUP($C285,Products!$A$1:$E$21,4,TRUE)</f>
        <v>140</v>
      </c>
      <c r="L285" s="4">
        <f>VLOOKUP($C285,Products!$A$1:$E$21,5,TRUE)</f>
        <v>270</v>
      </c>
      <c r="M285" s="4">
        <f t="shared" si="32"/>
        <v>700</v>
      </c>
      <c r="N285" s="4">
        <f t="shared" si="33"/>
        <v>1350</v>
      </c>
      <c r="O285" s="4">
        <f t="shared" si="34"/>
        <v>650</v>
      </c>
      <c r="P285" s="5">
        <f t="shared" si="35"/>
        <v>0.48148148148148145</v>
      </c>
      <c r="Q285" s="3" t="str">
        <f t="shared" si="36"/>
        <v>Medium_order</v>
      </c>
      <c r="R285" s="3" t="str">
        <f t="shared" si="37"/>
        <v>Middle_age</v>
      </c>
      <c r="S285" s="11" t="str">
        <f t="shared" si="38"/>
        <v>High_profit</v>
      </c>
      <c r="T285" s="13" t="str">
        <f t="shared" si="39"/>
        <v>Oct</v>
      </c>
    </row>
    <row r="286" spans="1:20" x14ac:dyDescent="0.3">
      <c r="A286" s="9">
        <v>45600</v>
      </c>
      <c r="B286" s="3">
        <v>3285</v>
      </c>
      <c r="C286" s="3">
        <v>1002</v>
      </c>
      <c r="D286" s="3">
        <v>2014</v>
      </c>
      <c r="E286" s="3">
        <v>2</v>
      </c>
      <c r="F286" s="3">
        <f>VLOOKUP(Sheet1!$D286,Customers!$A$1:$D$51,2,TRUE)</f>
        <v>58</v>
      </c>
      <c r="G286" s="3" t="str">
        <f>VLOOKUP(Sheet1!$D286,Customers!$A$1:$D$51,3,TRUE)</f>
        <v>Female</v>
      </c>
      <c r="H286" s="3" t="str">
        <f>VLOOKUP(Sheet1!$D286,Customers!$A$1:$D$51,4,TRUE)</f>
        <v>Chandigarh</v>
      </c>
      <c r="I286" s="3" t="str">
        <f>VLOOKUP($C286,Products!$A$1:$E$21,2,TRUE)</f>
        <v>Keyboard</v>
      </c>
      <c r="J286" s="3" t="str">
        <f>VLOOKUP($C286,Products!$A$1:$E$21,3,TRUE)</f>
        <v>Electronics</v>
      </c>
      <c r="K286" s="4">
        <f>VLOOKUP($C286,Products!$A$1:$E$21,4,TRUE)</f>
        <v>230</v>
      </c>
      <c r="L286" s="4">
        <f>VLOOKUP($C286,Products!$A$1:$E$21,5,TRUE)</f>
        <v>400</v>
      </c>
      <c r="M286" s="4">
        <f t="shared" si="32"/>
        <v>460</v>
      </c>
      <c r="N286" s="4">
        <f t="shared" si="33"/>
        <v>800</v>
      </c>
      <c r="O286" s="4">
        <f t="shared" si="34"/>
        <v>340</v>
      </c>
      <c r="P286" s="5">
        <f t="shared" si="35"/>
        <v>0.42499999999999999</v>
      </c>
      <c r="Q286" s="3" t="str">
        <f t="shared" si="36"/>
        <v>Low_order</v>
      </c>
      <c r="R286" s="3" t="str">
        <f t="shared" si="37"/>
        <v>Senior</v>
      </c>
      <c r="S286" s="11" t="str">
        <f t="shared" si="38"/>
        <v>High_profit</v>
      </c>
      <c r="T286" s="13" t="str">
        <f t="shared" si="39"/>
        <v>Nov</v>
      </c>
    </row>
    <row r="287" spans="1:20" x14ac:dyDescent="0.3">
      <c r="A287" s="9">
        <v>45557</v>
      </c>
      <c r="B287" s="3">
        <v>3286</v>
      </c>
      <c r="C287" s="3">
        <v>1018</v>
      </c>
      <c r="D287" s="3">
        <v>2028</v>
      </c>
      <c r="E287" s="3">
        <v>9</v>
      </c>
      <c r="F287" s="3">
        <f>VLOOKUP(Sheet1!$D287,Customers!$A$1:$D$51,2,TRUE)</f>
        <v>43</v>
      </c>
      <c r="G287" s="3" t="str">
        <f>VLOOKUP(Sheet1!$D287,Customers!$A$1:$D$51,3,TRUE)</f>
        <v>Male</v>
      </c>
      <c r="H287" s="3" t="str">
        <f>VLOOKUP(Sheet1!$D287,Customers!$A$1:$D$51,4,TRUE)</f>
        <v>Mumbai</v>
      </c>
      <c r="I287" s="3" t="str">
        <f>VLOOKUP($C287,Products!$A$1:$E$21,2,TRUE)</f>
        <v>Resistance Band</v>
      </c>
      <c r="J287" s="3" t="str">
        <f>VLOOKUP($C287,Products!$A$1:$E$21,3,TRUE)</f>
        <v>Fitness</v>
      </c>
      <c r="K287" s="4">
        <f>VLOOKUP($C287,Products!$A$1:$E$21,4,TRUE)</f>
        <v>310</v>
      </c>
      <c r="L287" s="4">
        <f>VLOOKUP($C287,Products!$A$1:$E$21,5,TRUE)</f>
        <v>480</v>
      </c>
      <c r="M287" s="4">
        <f t="shared" si="32"/>
        <v>2790</v>
      </c>
      <c r="N287" s="4">
        <f t="shared" si="33"/>
        <v>4320</v>
      </c>
      <c r="O287" s="4">
        <f t="shared" si="34"/>
        <v>1530</v>
      </c>
      <c r="P287" s="5">
        <f t="shared" si="35"/>
        <v>0.35416666666666669</v>
      </c>
      <c r="Q287" s="3" t="str">
        <f t="shared" si="36"/>
        <v>High_order</v>
      </c>
      <c r="R287" s="3" t="str">
        <f t="shared" si="37"/>
        <v>Senior</v>
      </c>
      <c r="S287" s="11" t="str">
        <f t="shared" si="38"/>
        <v>Medium_profit</v>
      </c>
      <c r="T287" s="13" t="str">
        <f t="shared" si="39"/>
        <v>Sep</v>
      </c>
    </row>
    <row r="288" spans="1:20" x14ac:dyDescent="0.3">
      <c r="A288" s="9">
        <v>45330</v>
      </c>
      <c r="B288" s="3">
        <v>3287</v>
      </c>
      <c r="C288" s="3">
        <v>1007</v>
      </c>
      <c r="D288" s="3">
        <v>2007</v>
      </c>
      <c r="E288" s="3">
        <v>1</v>
      </c>
      <c r="F288" s="3">
        <f>VLOOKUP(Sheet1!$D288,Customers!$A$1:$D$51,2,TRUE)</f>
        <v>34</v>
      </c>
      <c r="G288" s="3" t="str">
        <f>VLOOKUP(Sheet1!$D288,Customers!$A$1:$D$51,3,TRUE)</f>
        <v>Male</v>
      </c>
      <c r="H288" s="3" t="str">
        <f>VLOOKUP(Sheet1!$D288,Customers!$A$1:$D$51,4,TRUE)</f>
        <v>Bangalore</v>
      </c>
      <c r="I288" s="3" t="str">
        <f>VLOOKUP($C288,Products!$A$1:$E$21,2,TRUE)</f>
        <v>Charger</v>
      </c>
      <c r="J288" s="3" t="str">
        <f>VLOOKUP($C288,Products!$A$1:$E$21,3,TRUE)</f>
        <v>Accessories</v>
      </c>
      <c r="K288" s="4">
        <f>VLOOKUP($C288,Products!$A$1:$E$21,4,TRUE)</f>
        <v>160</v>
      </c>
      <c r="L288" s="4">
        <f>VLOOKUP($C288,Products!$A$1:$E$21,5,TRUE)</f>
        <v>230</v>
      </c>
      <c r="M288" s="4">
        <f t="shared" si="32"/>
        <v>160</v>
      </c>
      <c r="N288" s="4">
        <f t="shared" si="33"/>
        <v>230</v>
      </c>
      <c r="O288" s="4">
        <f t="shared" si="34"/>
        <v>70</v>
      </c>
      <c r="P288" s="5">
        <f t="shared" si="35"/>
        <v>0.30434782608695654</v>
      </c>
      <c r="Q288" s="3" t="str">
        <f t="shared" si="36"/>
        <v>Low_order</v>
      </c>
      <c r="R288" s="3" t="str">
        <f t="shared" si="37"/>
        <v>Middle_age</v>
      </c>
      <c r="S288" s="11" t="str">
        <f t="shared" si="38"/>
        <v>Low_profit</v>
      </c>
      <c r="T288" s="13" t="str">
        <f t="shared" si="39"/>
        <v>Feb</v>
      </c>
    </row>
    <row r="289" spans="1:20" x14ac:dyDescent="0.3">
      <c r="A289" s="9">
        <v>45460</v>
      </c>
      <c r="B289" s="3">
        <v>3288</v>
      </c>
      <c r="C289" s="3">
        <v>1011</v>
      </c>
      <c r="D289" s="3">
        <v>2040</v>
      </c>
      <c r="E289" s="3">
        <v>3</v>
      </c>
      <c r="F289" s="3">
        <f>VLOOKUP(Sheet1!$D289,Customers!$A$1:$D$51,2,TRUE)</f>
        <v>40</v>
      </c>
      <c r="G289" s="3" t="str">
        <f>VLOOKUP(Sheet1!$D289,Customers!$A$1:$D$51,3,TRUE)</f>
        <v>Male</v>
      </c>
      <c r="H289" s="3" t="str">
        <f>VLOOKUP(Sheet1!$D289,Customers!$A$1:$D$51,4,TRUE)</f>
        <v>Hyderabad</v>
      </c>
      <c r="I289" s="3" t="str">
        <f>VLOOKUP($C289,Products!$A$1:$E$21,2,TRUE)</f>
        <v>Notebook</v>
      </c>
      <c r="J289" s="3" t="str">
        <f>VLOOKUP($C289,Products!$A$1:$E$21,3,TRUE)</f>
        <v>Office</v>
      </c>
      <c r="K289" s="4">
        <f>VLOOKUP($C289,Products!$A$1:$E$21,4,TRUE)</f>
        <v>120</v>
      </c>
      <c r="L289" s="4">
        <f>VLOOKUP($C289,Products!$A$1:$E$21,5,TRUE)</f>
        <v>180</v>
      </c>
      <c r="M289" s="4">
        <f t="shared" si="32"/>
        <v>360</v>
      </c>
      <c r="N289" s="4">
        <f t="shared" si="33"/>
        <v>540</v>
      </c>
      <c r="O289" s="4">
        <f t="shared" si="34"/>
        <v>180</v>
      </c>
      <c r="P289" s="5">
        <f t="shared" si="35"/>
        <v>0.33333333333333331</v>
      </c>
      <c r="Q289" s="3" t="str">
        <f t="shared" si="36"/>
        <v>Low_order</v>
      </c>
      <c r="R289" s="3" t="str">
        <f t="shared" si="37"/>
        <v>Middle_age</v>
      </c>
      <c r="S289" s="11" t="str">
        <f t="shared" si="38"/>
        <v>Medium_profit</v>
      </c>
      <c r="T289" s="13" t="str">
        <f t="shared" si="39"/>
        <v>Jun</v>
      </c>
    </row>
    <row r="290" spans="1:20" x14ac:dyDescent="0.3">
      <c r="A290" s="9">
        <v>45420</v>
      </c>
      <c r="B290" s="3">
        <v>3289</v>
      </c>
      <c r="C290" s="3">
        <v>1014</v>
      </c>
      <c r="D290" s="3">
        <v>2047</v>
      </c>
      <c r="E290" s="3">
        <v>7</v>
      </c>
      <c r="F290" s="3">
        <f>VLOOKUP(Sheet1!$D290,Customers!$A$1:$D$51,2,TRUE)</f>
        <v>28</v>
      </c>
      <c r="G290" s="3" t="str">
        <f>VLOOKUP(Sheet1!$D290,Customers!$A$1:$D$51,3,TRUE)</f>
        <v>Male</v>
      </c>
      <c r="H290" s="3" t="str">
        <f>VLOOKUP(Sheet1!$D290,Customers!$A$1:$D$51,4,TRUE)</f>
        <v>Chandigarh</v>
      </c>
      <c r="I290" s="3" t="str">
        <f>VLOOKUP($C290,Products!$A$1:$E$21,2,TRUE)</f>
        <v>Stapler</v>
      </c>
      <c r="J290" s="3" t="str">
        <f>VLOOKUP($C290,Products!$A$1:$E$21,3,TRUE)</f>
        <v>Office</v>
      </c>
      <c r="K290" s="4">
        <f>VLOOKUP($C290,Products!$A$1:$E$21,4,TRUE)</f>
        <v>170</v>
      </c>
      <c r="L290" s="4">
        <f>VLOOKUP($C290,Products!$A$1:$E$21,5,TRUE)</f>
        <v>280</v>
      </c>
      <c r="M290" s="4">
        <f t="shared" si="32"/>
        <v>1190</v>
      </c>
      <c r="N290" s="4">
        <f t="shared" si="33"/>
        <v>1960</v>
      </c>
      <c r="O290" s="4">
        <f t="shared" si="34"/>
        <v>770</v>
      </c>
      <c r="P290" s="5">
        <f t="shared" si="35"/>
        <v>0.39285714285714285</v>
      </c>
      <c r="Q290" s="3" t="str">
        <f t="shared" si="36"/>
        <v>Medium_order</v>
      </c>
      <c r="R290" s="3" t="str">
        <f t="shared" si="37"/>
        <v>Young</v>
      </c>
      <c r="S290" s="11" t="str">
        <f t="shared" si="38"/>
        <v>Medium_profit</v>
      </c>
      <c r="T290" s="13" t="str">
        <f t="shared" si="39"/>
        <v>May</v>
      </c>
    </row>
    <row r="291" spans="1:20" x14ac:dyDescent="0.3">
      <c r="A291" s="9">
        <v>45633</v>
      </c>
      <c r="B291" s="3">
        <v>3290</v>
      </c>
      <c r="C291" s="3">
        <v>1019</v>
      </c>
      <c r="D291" s="3">
        <v>2023</v>
      </c>
      <c r="E291" s="3">
        <v>1</v>
      </c>
      <c r="F291" s="3">
        <f>VLOOKUP(Sheet1!$D291,Customers!$A$1:$D$51,2,TRUE)</f>
        <v>41</v>
      </c>
      <c r="G291" s="3" t="str">
        <f>VLOOKUP(Sheet1!$D291,Customers!$A$1:$D$51,3,TRUE)</f>
        <v>Male</v>
      </c>
      <c r="H291" s="3" t="str">
        <f>VLOOKUP(Sheet1!$D291,Customers!$A$1:$D$51,4,TRUE)</f>
        <v>Delhi</v>
      </c>
      <c r="I291" s="3" t="str">
        <f>VLOOKUP($C291,Products!$A$1:$E$21,2,TRUE)</f>
        <v>Skipping Rope</v>
      </c>
      <c r="J291" s="3" t="str">
        <f>VLOOKUP($C291,Products!$A$1:$E$21,3,TRUE)</f>
        <v>Fitness</v>
      </c>
      <c r="K291" s="4">
        <f>VLOOKUP($C291,Products!$A$1:$E$21,4,TRUE)</f>
        <v>140</v>
      </c>
      <c r="L291" s="4">
        <f>VLOOKUP($C291,Products!$A$1:$E$21,5,TRUE)</f>
        <v>270</v>
      </c>
      <c r="M291" s="4">
        <f t="shared" si="32"/>
        <v>140</v>
      </c>
      <c r="N291" s="4">
        <f t="shared" si="33"/>
        <v>270</v>
      </c>
      <c r="O291" s="4">
        <f t="shared" si="34"/>
        <v>130</v>
      </c>
      <c r="P291" s="5">
        <f t="shared" si="35"/>
        <v>0.48148148148148145</v>
      </c>
      <c r="Q291" s="3" t="str">
        <f t="shared" si="36"/>
        <v>Low_order</v>
      </c>
      <c r="R291" s="3" t="str">
        <f t="shared" si="37"/>
        <v>Senior</v>
      </c>
      <c r="S291" s="11" t="str">
        <f t="shared" si="38"/>
        <v>High_profit</v>
      </c>
      <c r="T291" s="13" t="str">
        <f t="shared" si="39"/>
        <v>Dec</v>
      </c>
    </row>
    <row r="292" spans="1:20" x14ac:dyDescent="0.3">
      <c r="A292" s="9">
        <v>45324</v>
      </c>
      <c r="B292" s="3">
        <v>3291</v>
      </c>
      <c r="C292" s="3">
        <v>1005</v>
      </c>
      <c r="D292" s="3">
        <v>2006</v>
      </c>
      <c r="E292" s="3">
        <v>7</v>
      </c>
      <c r="F292" s="3">
        <f>VLOOKUP(Sheet1!$D292,Customers!$A$1:$D$51,2,TRUE)</f>
        <v>32</v>
      </c>
      <c r="G292" s="3" t="str">
        <f>VLOOKUP(Sheet1!$D292,Customers!$A$1:$D$51,3,TRUE)</f>
        <v>Male</v>
      </c>
      <c r="H292" s="3" t="str">
        <f>VLOOKUP(Sheet1!$D292,Customers!$A$1:$D$51,4,TRUE)</f>
        <v>Hyderabad</v>
      </c>
      <c r="I292" s="3" t="str">
        <f>VLOOKUP($C292,Products!$A$1:$E$21,2,TRUE)</f>
        <v>Webcam</v>
      </c>
      <c r="J292" s="3" t="str">
        <f>VLOOKUP($C292,Products!$A$1:$E$21,3,TRUE)</f>
        <v>Electronics</v>
      </c>
      <c r="K292" s="4">
        <f>VLOOKUP($C292,Products!$A$1:$E$21,4,TRUE)</f>
        <v>340</v>
      </c>
      <c r="L292" s="4">
        <f>VLOOKUP($C292,Products!$A$1:$E$21,5,TRUE)</f>
        <v>520</v>
      </c>
      <c r="M292" s="4">
        <f t="shared" si="32"/>
        <v>2380</v>
      </c>
      <c r="N292" s="4">
        <f t="shared" si="33"/>
        <v>3640</v>
      </c>
      <c r="O292" s="4">
        <f t="shared" si="34"/>
        <v>1260</v>
      </c>
      <c r="P292" s="5">
        <f t="shared" si="35"/>
        <v>0.34615384615384615</v>
      </c>
      <c r="Q292" s="3" t="str">
        <f t="shared" si="36"/>
        <v>High_order</v>
      </c>
      <c r="R292" s="3" t="str">
        <f t="shared" si="37"/>
        <v>Middle_age</v>
      </c>
      <c r="S292" s="11" t="str">
        <f t="shared" si="38"/>
        <v>Medium_profit</v>
      </c>
      <c r="T292" s="13" t="str">
        <f t="shared" si="39"/>
        <v>Feb</v>
      </c>
    </row>
    <row r="293" spans="1:20" x14ac:dyDescent="0.3">
      <c r="A293" s="9">
        <v>45437</v>
      </c>
      <c r="B293" s="3">
        <v>3292</v>
      </c>
      <c r="C293" s="3">
        <v>1011</v>
      </c>
      <c r="D293" s="3">
        <v>2043</v>
      </c>
      <c r="E293" s="3">
        <v>10</v>
      </c>
      <c r="F293" s="3">
        <f>VLOOKUP(Sheet1!$D293,Customers!$A$1:$D$51,2,TRUE)</f>
        <v>44</v>
      </c>
      <c r="G293" s="3" t="str">
        <f>VLOOKUP(Sheet1!$D293,Customers!$A$1:$D$51,3,TRUE)</f>
        <v>Male</v>
      </c>
      <c r="H293" s="3" t="str">
        <f>VLOOKUP(Sheet1!$D293,Customers!$A$1:$D$51,4,TRUE)</f>
        <v>Delhi</v>
      </c>
      <c r="I293" s="3" t="str">
        <f>VLOOKUP($C293,Products!$A$1:$E$21,2,TRUE)</f>
        <v>Notebook</v>
      </c>
      <c r="J293" s="3" t="str">
        <f>VLOOKUP($C293,Products!$A$1:$E$21,3,TRUE)</f>
        <v>Office</v>
      </c>
      <c r="K293" s="4">
        <f>VLOOKUP($C293,Products!$A$1:$E$21,4,TRUE)</f>
        <v>120</v>
      </c>
      <c r="L293" s="4">
        <f>VLOOKUP($C293,Products!$A$1:$E$21,5,TRUE)</f>
        <v>180</v>
      </c>
      <c r="M293" s="4">
        <f t="shared" si="32"/>
        <v>1200</v>
      </c>
      <c r="N293" s="4">
        <f t="shared" si="33"/>
        <v>1800</v>
      </c>
      <c r="O293" s="4">
        <f t="shared" si="34"/>
        <v>600</v>
      </c>
      <c r="P293" s="5">
        <f t="shared" si="35"/>
        <v>0.33333333333333331</v>
      </c>
      <c r="Q293" s="3" t="str">
        <f t="shared" si="36"/>
        <v>Medium_order</v>
      </c>
      <c r="R293" s="3" t="str">
        <f t="shared" si="37"/>
        <v>Senior</v>
      </c>
      <c r="S293" s="11" t="str">
        <f t="shared" si="38"/>
        <v>Medium_profit</v>
      </c>
      <c r="T293" s="13" t="str">
        <f t="shared" si="39"/>
        <v>May</v>
      </c>
    </row>
    <row r="294" spans="1:20" x14ac:dyDescent="0.3">
      <c r="A294" s="9">
        <v>45432</v>
      </c>
      <c r="B294" s="3">
        <v>3293</v>
      </c>
      <c r="C294" s="3">
        <v>1002</v>
      </c>
      <c r="D294" s="3">
        <v>2005</v>
      </c>
      <c r="E294" s="3">
        <v>1</v>
      </c>
      <c r="F294" s="3">
        <f>VLOOKUP(Sheet1!$D294,Customers!$A$1:$D$51,2,TRUE)</f>
        <v>56</v>
      </c>
      <c r="G294" s="3" t="str">
        <f>VLOOKUP(Sheet1!$D294,Customers!$A$1:$D$51,3,TRUE)</f>
        <v>Female</v>
      </c>
      <c r="H294" s="3" t="str">
        <f>VLOOKUP(Sheet1!$D294,Customers!$A$1:$D$51,4,TRUE)</f>
        <v>Hyderabad</v>
      </c>
      <c r="I294" s="3" t="str">
        <f>VLOOKUP($C294,Products!$A$1:$E$21,2,TRUE)</f>
        <v>Keyboard</v>
      </c>
      <c r="J294" s="3" t="str">
        <f>VLOOKUP($C294,Products!$A$1:$E$21,3,TRUE)</f>
        <v>Electronics</v>
      </c>
      <c r="K294" s="4">
        <f>VLOOKUP($C294,Products!$A$1:$E$21,4,TRUE)</f>
        <v>230</v>
      </c>
      <c r="L294" s="4">
        <f>VLOOKUP($C294,Products!$A$1:$E$21,5,TRUE)</f>
        <v>400</v>
      </c>
      <c r="M294" s="4">
        <f t="shared" si="32"/>
        <v>230</v>
      </c>
      <c r="N294" s="4">
        <f t="shared" si="33"/>
        <v>400</v>
      </c>
      <c r="O294" s="4">
        <f t="shared" si="34"/>
        <v>170</v>
      </c>
      <c r="P294" s="5">
        <f t="shared" si="35"/>
        <v>0.42499999999999999</v>
      </c>
      <c r="Q294" s="3" t="str">
        <f t="shared" si="36"/>
        <v>Low_order</v>
      </c>
      <c r="R294" s="3" t="str">
        <f t="shared" si="37"/>
        <v>Senior</v>
      </c>
      <c r="S294" s="11" t="str">
        <f t="shared" si="38"/>
        <v>High_profit</v>
      </c>
      <c r="T294" s="13" t="str">
        <f t="shared" si="39"/>
        <v>May</v>
      </c>
    </row>
    <row r="295" spans="1:20" x14ac:dyDescent="0.3">
      <c r="A295" s="9">
        <v>45440</v>
      </c>
      <c r="B295" s="3">
        <v>3294</v>
      </c>
      <c r="C295" s="3">
        <v>1002</v>
      </c>
      <c r="D295" s="3">
        <v>2006</v>
      </c>
      <c r="E295" s="3">
        <v>9</v>
      </c>
      <c r="F295" s="3">
        <f>VLOOKUP(Sheet1!$D295,Customers!$A$1:$D$51,2,TRUE)</f>
        <v>32</v>
      </c>
      <c r="G295" s="3" t="str">
        <f>VLOOKUP(Sheet1!$D295,Customers!$A$1:$D$51,3,TRUE)</f>
        <v>Male</v>
      </c>
      <c r="H295" s="3" t="str">
        <f>VLOOKUP(Sheet1!$D295,Customers!$A$1:$D$51,4,TRUE)</f>
        <v>Hyderabad</v>
      </c>
      <c r="I295" s="3" t="str">
        <f>VLOOKUP($C295,Products!$A$1:$E$21,2,TRUE)</f>
        <v>Keyboard</v>
      </c>
      <c r="J295" s="3" t="str">
        <f>VLOOKUP($C295,Products!$A$1:$E$21,3,TRUE)</f>
        <v>Electronics</v>
      </c>
      <c r="K295" s="4">
        <f>VLOOKUP($C295,Products!$A$1:$E$21,4,TRUE)</f>
        <v>230</v>
      </c>
      <c r="L295" s="4">
        <f>VLOOKUP($C295,Products!$A$1:$E$21,5,TRUE)</f>
        <v>400</v>
      </c>
      <c r="M295" s="4">
        <f t="shared" si="32"/>
        <v>2070</v>
      </c>
      <c r="N295" s="4">
        <f t="shared" si="33"/>
        <v>3600</v>
      </c>
      <c r="O295" s="4">
        <f t="shared" si="34"/>
        <v>1530</v>
      </c>
      <c r="P295" s="5">
        <f t="shared" si="35"/>
        <v>0.42499999999999999</v>
      </c>
      <c r="Q295" s="3" t="str">
        <f t="shared" si="36"/>
        <v>High_order</v>
      </c>
      <c r="R295" s="3" t="str">
        <f t="shared" si="37"/>
        <v>Middle_age</v>
      </c>
      <c r="S295" s="11" t="str">
        <f t="shared" si="38"/>
        <v>High_profit</v>
      </c>
      <c r="T295" s="13" t="str">
        <f t="shared" si="39"/>
        <v>May</v>
      </c>
    </row>
    <row r="296" spans="1:20" x14ac:dyDescent="0.3">
      <c r="A296" s="9">
        <v>45619</v>
      </c>
      <c r="B296" s="3">
        <v>3295</v>
      </c>
      <c r="C296" s="3">
        <v>1007</v>
      </c>
      <c r="D296" s="3">
        <v>2036</v>
      </c>
      <c r="E296" s="3">
        <v>8</v>
      </c>
      <c r="F296" s="3">
        <f>VLOOKUP(Sheet1!$D296,Customers!$A$1:$D$51,2,TRUE)</f>
        <v>30</v>
      </c>
      <c r="G296" s="3" t="str">
        <f>VLOOKUP(Sheet1!$D296,Customers!$A$1:$D$51,3,TRUE)</f>
        <v>Male</v>
      </c>
      <c r="H296" s="3" t="str">
        <f>VLOOKUP(Sheet1!$D296,Customers!$A$1:$D$51,4,TRUE)</f>
        <v>Delhi</v>
      </c>
      <c r="I296" s="3" t="str">
        <f>VLOOKUP($C296,Products!$A$1:$E$21,2,TRUE)</f>
        <v>Charger</v>
      </c>
      <c r="J296" s="3" t="str">
        <f>VLOOKUP($C296,Products!$A$1:$E$21,3,TRUE)</f>
        <v>Accessories</v>
      </c>
      <c r="K296" s="4">
        <f>VLOOKUP($C296,Products!$A$1:$E$21,4,TRUE)</f>
        <v>160</v>
      </c>
      <c r="L296" s="4">
        <f>VLOOKUP($C296,Products!$A$1:$E$21,5,TRUE)</f>
        <v>230</v>
      </c>
      <c r="M296" s="4">
        <f t="shared" si="32"/>
        <v>1280</v>
      </c>
      <c r="N296" s="4">
        <f t="shared" si="33"/>
        <v>1840</v>
      </c>
      <c r="O296" s="4">
        <f t="shared" si="34"/>
        <v>560</v>
      </c>
      <c r="P296" s="5">
        <f t="shared" si="35"/>
        <v>0.30434782608695654</v>
      </c>
      <c r="Q296" s="3" t="str">
        <f t="shared" si="36"/>
        <v>Medium_order</v>
      </c>
      <c r="R296" s="3" t="str">
        <f t="shared" si="37"/>
        <v>Young</v>
      </c>
      <c r="S296" s="11" t="str">
        <f t="shared" si="38"/>
        <v>Low_profit</v>
      </c>
      <c r="T296" s="13" t="str">
        <f t="shared" si="39"/>
        <v>Nov</v>
      </c>
    </row>
    <row r="297" spans="1:20" x14ac:dyDescent="0.3">
      <c r="A297" s="9">
        <v>45477</v>
      </c>
      <c r="B297" s="3">
        <v>3296</v>
      </c>
      <c r="C297" s="3">
        <v>1015</v>
      </c>
      <c r="D297" s="3">
        <v>2031</v>
      </c>
      <c r="E297" s="3">
        <v>7</v>
      </c>
      <c r="F297" s="3">
        <f>VLOOKUP(Sheet1!$D297,Customers!$A$1:$D$51,2,TRUE)</f>
        <v>38</v>
      </c>
      <c r="G297" s="3" t="str">
        <f>VLOOKUP(Sheet1!$D297,Customers!$A$1:$D$51,3,TRUE)</f>
        <v>Male</v>
      </c>
      <c r="H297" s="3" t="str">
        <f>VLOOKUP(Sheet1!$D297,Customers!$A$1:$D$51,4,TRUE)</f>
        <v>Bangalore</v>
      </c>
      <c r="I297" s="3" t="str">
        <f>VLOOKUP($C297,Products!$A$1:$E$21,2,TRUE)</f>
        <v>Organizer</v>
      </c>
      <c r="J297" s="3" t="str">
        <f>VLOOKUP($C297,Products!$A$1:$E$21,3,TRUE)</f>
        <v>Office</v>
      </c>
      <c r="K297" s="4">
        <f>VLOOKUP($C297,Products!$A$1:$E$21,4,TRUE)</f>
        <v>70</v>
      </c>
      <c r="L297" s="4">
        <f>VLOOKUP($C297,Products!$A$1:$E$21,5,TRUE)</f>
        <v>210</v>
      </c>
      <c r="M297" s="4">
        <f t="shared" si="32"/>
        <v>490</v>
      </c>
      <c r="N297" s="4">
        <f t="shared" si="33"/>
        <v>1470</v>
      </c>
      <c r="O297" s="4">
        <f t="shared" si="34"/>
        <v>980</v>
      </c>
      <c r="P297" s="5">
        <f t="shared" si="35"/>
        <v>0.66666666666666663</v>
      </c>
      <c r="Q297" s="3" t="str">
        <f t="shared" si="36"/>
        <v>Medium_order</v>
      </c>
      <c r="R297" s="3" t="str">
        <f t="shared" si="37"/>
        <v>Middle_age</v>
      </c>
      <c r="S297" s="11" t="str">
        <f t="shared" si="38"/>
        <v>High_profit</v>
      </c>
      <c r="T297" s="13" t="str">
        <f t="shared" si="39"/>
        <v>Jul</v>
      </c>
    </row>
    <row r="298" spans="1:20" x14ac:dyDescent="0.3">
      <c r="A298" s="9">
        <v>45600</v>
      </c>
      <c r="B298" s="3">
        <v>3297</v>
      </c>
      <c r="C298" s="3">
        <v>1008</v>
      </c>
      <c r="D298" s="3">
        <v>2008</v>
      </c>
      <c r="E298" s="3">
        <v>9</v>
      </c>
      <c r="F298" s="3">
        <f>VLOOKUP(Sheet1!$D298,Customers!$A$1:$D$51,2,TRUE)</f>
        <v>36</v>
      </c>
      <c r="G298" s="3" t="str">
        <f>VLOOKUP(Sheet1!$D298,Customers!$A$1:$D$51,3,TRUE)</f>
        <v>Male</v>
      </c>
      <c r="H298" s="3" t="str">
        <f>VLOOKUP(Sheet1!$D298,Customers!$A$1:$D$51,4,TRUE)</f>
        <v>Mumbai</v>
      </c>
      <c r="I298" s="3" t="str">
        <f>VLOOKUP($C298,Products!$A$1:$E$21,2,TRUE)</f>
        <v>USB Cable</v>
      </c>
      <c r="J298" s="3" t="str">
        <f>VLOOKUP($C298,Products!$A$1:$E$21,3,TRUE)</f>
        <v>Accessories</v>
      </c>
      <c r="K298" s="4">
        <f>VLOOKUP($C298,Products!$A$1:$E$21,4,TRUE)</f>
        <v>340</v>
      </c>
      <c r="L298" s="4">
        <f>VLOOKUP($C298,Products!$A$1:$E$21,5,TRUE)</f>
        <v>430</v>
      </c>
      <c r="M298" s="4">
        <f t="shared" si="32"/>
        <v>3060</v>
      </c>
      <c r="N298" s="4">
        <f t="shared" si="33"/>
        <v>3870</v>
      </c>
      <c r="O298" s="4">
        <f t="shared" si="34"/>
        <v>810</v>
      </c>
      <c r="P298" s="5">
        <f t="shared" si="35"/>
        <v>0.20930232558139536</v>
      </c>
      <c r="Q298" s="3" t="str">
        <f t="shared" si="36"/>
        <v>High_order</v>
      </c>
      <c r="R298" s="3" t="str">
        <f t="shared" si="37"/>
        <v>Middle_age</v>
      </c>
      <c r="S298" s="11" t="str">
        <f t="shared" si="38"/>
        <v>Low_profit</v>
      </c>
      <c r="T298" s="13" t="str">
        <f t="shared" si="39"/>
        <v>Nov</v>
      </c>
    </row>
    <row r="299" spans="1:20" x14ac:dyDescent="0.3">
      <c r="A299" s="9">
        <v>45419</v>
      </c>
      <c r="B299" s="3">
        <v>3298</v>
      </c>
      <c r="C299" s="3">
        <v>1004</v>
      </c>
      <c r="D299" s="3">
        <v>2021</v>
      </c>
      <c r="E299" s="3">
        <v>2</v>
      </c>
      <c r="F299" s="3">
        <f>VLOOKUP(Sheet1!$D299,Customers!$A$1:$D$51,2,TRUE)</f>
        <v>28</v>
      </c>
      <c r="G299" s="3" t="str">
        <f>VLOOKUP(Sheet1!$D299,Customers!$A$1:$D$51,3,TRUE)</f>
        <v>Male</v>
      </c>
      <c r="H299" s="3" t="str">
        <f>VLOOKUP(Sheet1!$D299,Customers!$A$1:$D$51,4,TRUE)</f>
        <v>Delhi</v>
      </c>
      <c r="I299" s="3" t="str">
        <f>VLOOKUP($C299,Products!$A$1:$E$21,2,TRUE)</f>
        <v>Speaker</v>
      </c>
      <c r="J299" s="3" t="str">
        <f>VLOOKUP($C299,Products!$A$1:$E$21,3,TRUE)</f>
        <v>Electronics</v>
      </c>
      <c r="K299" s="4">
        <f>VLOOKUP($C299,Products!$A$1:$E$21,4,TRUE)</f>
        <v>230</v>
      </c>
      <c r="L299" s="4">
        <f>VLOOKUP($C299,Products!$A$1:$E$21,5,TRUE)</f>
        <v>440</v>
      </c>
      <c r="M299" s="4">
        <f t="shared" si="32"/>
        <v>460</v>
      </c>
      <c r="N299" s="4">
        <f t="shared" si="33"/>
        <v>880</v>
      </c>
      <c r="O299" s="4">
        <f t="shared" si="34"/>
        <v>420</v>
      </c>
      <c r="P299" s="5">
        <f t="shared" si="35"/>
        <v>0.47727272727272729</v>
      </c>
      <c r="Q299" s="3" t="str">
        <f t="shared" si="36"/>
        <v>Low_order</v>
      </c>
      <c r="R299" s="3" t="str">
        <f t="shared" si="37"/>
        <v>Young</v>
      </c>
      <c r="S299" s="11" t="str">
        <f t="shared" si="38"/>
        <v>High_profit</v>
      </c>
      <c r="T299" s="13" t="str">
        <f t="shared" si="39"/>
        <v>May</v>
      </c>
    </row>
    <row r="300" spans="1:20" x14ac:dyDescent="0.3">
      <c r="A300" s="9">
        <v>45561</v>
      </c>
      <c r="B300" s="3">
        <v>3299</v>
      </c>
      <c r="C300" s="3">
        <v>1004</v>
      </c>
      <c r="D300" s="3">
        <v>2018</v>
      </c>
      <c r="E300" s="3">
        <v>10</v>
      </c>
      <c r="F300" s="3">
        <f>VLOOKUP(Sheet1!$D300,Customers!$A$1:$D$51,2,TRUE)</f>
        <v>38</v>
      </c>
      <c r="G300" s="3" t="str">
        <f>VLOOKUP(Sheet1!$D300,Customers!$A$1:$D$51,3,TRUE)</f>
        <v>Female</v>
      </c>
      <c r="H300" s="3" t="str">
        <f>VLOOKUP(Sheet1!$D300,Customers!$A$1:$D$51,4,TRUE)</f>
        <v>Pune</v>
      </c>
      <c r="I300" s="3" t="str">
        <f>VLOOKUP($C300,Products!$A$1:$E$21,2,TRUE)</f>
        <v>Speaker</v>
      </c>
      <c r="J300" s="3" t="str">
        <f>VLOOKUP($C300,Products!$A$1:$E$21,3,TRUE)</f>
        <v>Electronics</v>
      </c>
      <c r="K300" s="4">
        <f>VLOOKUP($C300,Products!$A$1:$E$21,4,TRUE)</f>
        <v>230</v>
      </c>
      <c r="L300" s="4">
        <f>VLOOKUP($C300,Products!$A$1:$E$21,5,TRUE)</f>
        <v>440</v>
      </c>
      <c r="M300" s="4">
        <f t="shared" si="32"/>
        <v>2300</v>
      </c>
      <c r="N300" s="4">
        <f t="shared" si="33"/>
        <v>4400</v>
      </c>
      <c r="O300" s="4">
        <f t="shared" si="34"/>
        <v>2100</v>
      </c>
      <c r="P300" s="5">
        <f t="shared" si="35"/>
        <v>0.47727272727272729</v>
      </c>
      <c r="Q300" s="3" t="str">
        <f t="shared" si="36"/>
        <v>High_order</v>
      </c>
      <c r="R300" s="3" t="str">
        <f t="shared" si="37"/>
        <v>Middle_age</v>
      </c>
      <c r="S300" s="11" t="str">
        <f t="shared" si="38"/>
        <v>High_profit</v>
      </c>
      <c r="T300" s="13" t="str">
        <f t="shared" si="39"/>
        <v>Sep</v>
      </c>
    </row>
    <row r="301" spans="1:20" x14ac:dyDescent="0.3">
      <c r="A301" s="9">
        <v>45637</v>
      </c>
      <c r="B301" s="3">
        <v>3300</v>
      </c>
      <c r="C301" s="3">
        <v>1002</v>
      </c>
      <c r="D301" s="3">
        <v>2033</v>
      </c>
      <c r="E301" s="3">
        <v>9</v>
      </c>
      <c r="F301" s="3">
        <f>VLOOKUP(Sheet1!$D301,Customers!$A$1:$D$51,2,TRUE)</f>
        <v>43</v>
      </c>
      <c r="G301" s="3" t="str">
        <f>VLOOKUP(Sheet1!$D301,Customers!$A$1:$D$51,3,TRUE)</f>
        <v>Female</v>
      </c>
      <c r="H301" s="3" t="str">
        <f>VLOOKUP(Sheet1!$D301,Customers!$A$1:$D$51,4,TRUE)</f>
        <v>Hyderabad</v>
      </c>
      <c r="I301" s="3" t="str">
        <f>VLOOKUP($C301,Products!$A$1:$E$21,2,TRUE)</f>
        <v>Keyboard</v>
      </c>
      <c r="J301" s="3" t="str">
        <f>VLOOKUP($C301,Products!$A$1:$E$21,3,TRUE)</f>
        <v>Electronics</v>
      </c>
      <c r="K301" s="4">
        <f>VLOOKUP($C301,Products!$A$1:$E$21,4,TRUE)</f>
        <v>230</v>
      </c>
      <c r="L301" s="4">
        <f>VLOOKUP($C301,Products!$A$1:$E$21,5,TRUE)</f>
        <v>400</v>
      </c>
      <c r="M301" s="4">
        <f t="shared" si="32"/>
        <v>2070</v>
      </c>
      <c r="N301" s="4">
        <f t="shared" si="33"/>
        <v>3600</v>
      </c>
      <c r="O301" s="4">
        <f t="shared" si="34"/>
        <v>1530</v>
      </c>
      <c r="P301" s="5">
        <f t="shared" si="35"/>
        <v>0.42499999999999999</v>
      </c>
      <c r="Q301" s="3" t="str">
        <f t="shared" si="36"/>
        <v>High_order</v>
      </c>
      <c r="R301" s="3" t="str">
        <f t="shared" si="37"/>
        <v>Senior</v>
      </c>
      <c r="S301" s="11" t="str">
        <f t="shared" si="38"/>
        <v>High_profit</v>
      </c>
      <c r="T301" s="13" t="str">
        <f t="shared" si="39"/>
        <v>Dec</v>
      </c>
    </row>
    <row r="302" spans="1:20" x14ac:dyDescent="0.3">
      <c r="A302" s="9">
        <v>45348</v>
      </c>
      <c r="B302" s="3">
        <v>3301</v>
      </c>
      <c r="C302" s="3">
        <v>1001</v>
      </c>
      <c r="D302" s="3">
        <v>2031</v>
      </c>
      <c r="E302" s="3">
        <v>9</v>
      </c>
      <c r="F302" s="3">
        <f>VLOOKUP(Sheet1!$D302,Customers!$A$1:$D$51,2,TRUE)</f>
        <v>38</v>
      </c>
      <c r="G302" s="3" t="str">
        <f>VLOOKUP(Sheet1!$D302,Customers!$A$1:$D$51,3,TRUE)</f>
        <v>Male</v>
      </c>
      <c r="H302" s="3" t="str">
        <f>VLOOKUP(Sheet1!$D302,Customers!$A$1:$D$51,4,TRUE)</f>
        <v>Bangalore</v>
      </c>
      <c r="I302" s="3" t="str">
        <f>VLOOKUP($C302,Products!$A$1:$E$21,2,TRUE)</f>
        <v>Headphones</v>
      </c>
      <c r="J302" s="3" t="str">
        <f>VLOOKUP($C302,Products!$A$1:$E$21,3,TRUE)</f>
        <v>Electronics</v>
      </c>
      <c r="K302" s="4">
        <f>VLOOKUP($C302,Products!$A$1:$E$21,4,TRUE)</f>
        <v>380</v>
      </c>
      <c r="L302" s="4">
        <f>VLOOKUP($C302,Products!$A$1:$E$21,5,TRUE)</f>
        <v>550</v>
      </c>
      <c r="M302" s="4">
        <f t="shared" si="32"/>
        <v>3420</v>
      </c>
      <c r="N302" s="4">
        <f t="shared" si="33"/>
        <v>4950</v>
      </c>
      <c r="O302" s="4">
        <f t="shared" si="34"/>
        <v>1530</v>
      </c>
      <c r="P302" s="5">
        <f t="shared" si="35"/>
        <v>0.30909090909090908</v>
      </c>
      <c r="Q302" s="3" t="str">
        <f t="shared" si="36"/>
        <v>High_order</v>
      </c>
      <c r="R302" s="3" t="str">
        <f t="shared" si="37"/>
        <v>Middle_age</v>
      </c>
      <c r="S302" s="11" t="str">
        <f t="shared" si="38"/>
        <v>Low_profit</v>
      </c>
      <c r="T302" s="13" t="str">
        <f t="shared" si="39"/>
        <v>Feb</v>
      </c>
    </row>
    <row r="303" spans="1:20" x14ac:dyDescent="0.3">
      <c r="A303" s="9">
        <v>45434</v>
      </c>
      <c r="B303" s="3">
        <v>3302</v>
      </c>
      <c r="C303" s="3">
        <v>1010</v>
      </c>
      <c r="D303" s="3">
        <v>2041</v>
      </c>
      <c r="E303" s="3">
        <v>1</v>
      </c>
      <c r="F303" s="3">
        <f>VLOOKUP(Sheet1!$D303,Customers!$A$1:$D$51,2,TRUE)</f>
        <v>28</v>
      </c>
      <c r="G303" s="3" t="str">
        <f>VLOOKUP(Sheet1!$D303,Customers!$A$1:$D$51,3,TRUE)</f>
        <v>Male</v>
      </c>
      <c r="H303" s="3" t="str">
        <f>VLOOKUP(Sheet1!$D303,Customers!$A$1:$D$51,4,TRUE)</f>
        <v>Pune</v>
      </c>
      <c r="I303" s="3" t="str">
        <f>VLOOKUP($C303,Products!$A$1:$E$21,2,TRUE)</f>
        <v>Laptop Sleeve</v>
      </c>
      <c r="J303" s="3" t="str">
        <f>VLOOKUP($C303,Products!$A$1:$E$21,3,TRUE)</f>
        <v>Accessories</v>
      </c>
      <c r="K303" s="4">
        <f>VLOOKUP($C303,Products!$A$1:$E$21,4,TRUE)</f>
        <v>290</v>
      </c>
      <c r="L303" s="4">
        <f>VLOOKUP($C303,Products!$A$1:$E$21,5,TRUE)</f>
        <v>470</v>
      </c>
      <c r="M303" s="4">
        <f t="shared" si="32"/>
        <v>290</v>
      </c>
      <c r="N303" s="4">
        <f t="shared" si="33"/>
        <v>470</v>
      </c>
      <c r="O303" s="4">
        <f t="shared" si="34"/>
        <v>180</v>
      </c>
      <c r="P303" s="5">
        <f t="shared" si="35"/>
        <v>0.38297872340425532</v>
      </c>
      <c r="Q303" s="3" t="str">
        <f t="shared" si="36"/>
        <v>Low_order</v>
      </c>
      <c r="R303" s="3" t="str">
        <f t="shared" si="37"/>
        <v>Young</v>
      </c>
      <c r="S303" s="11" t="str">
        <f t="shared" si="38"/>
        <v>Medium_profit</v>
      </c>
      <c r="T303" s="13" t="str">
        <f t="shared" si="39"/>
        <v>May</v>
      </c>
    </row>
    <row r="304" spans="1:20" x14ac:dyDescent="0.3">
      <c r="A304" s="9">
        <v>45392</v>
      </c>
      <c r="B304" s="3">
        <v>3303</v>
      </c>
      <c r="C304" s="3">
        <v>1006</v>
      </c>
      <c r="D304" s="3">
        <v>2023</v>
      </c>
      <c r="E304" s="3">
        <v>4</v>
      </c>
      <c r="F304" s="3">
        <f>VLOOKUP(Sheet1!$D304,Customers!$A$1:$D$51,2,TRUE)</f>
        <v>41</v>
      </c>
      <c r="G304" s="3" t="str">
        <f>VLOOKUP(Sheet1!$D304,Customers!$A$1:$D$51,3,TRUE)</f>
        <v>Male</v>
      </c>
      <c r="H304" s="3" t="str">
        <f>VLOOKUP(Sheet1!$D304,Customers!$A$1:$D$51,4,TRUE)</f>
        <v>Delhi</v>
      </c>
      <c r="I304" s="3" t="str">
        <f>VLOOKUP($C304,Products!$A$1:$E$21,2,TRUE)</f>
        <v>Phone Case</v>
      </c>
      <c r="J304" s="3" t="str">
        <f>VLOOKUP($C304,Products!$A$1:$E$21,3,TRUE)</f>
        <v>Accessories</v>
      </c>
      <c r="K304" s="4">
        <f>VLOOKUP($C304,Products!$A$1:$E$21,4,TRUE)</f>
        <v>320</v>
      </c>
      <c r="L304" s="4">
        <f>VLOOKUP($C304,Products!$A$1:$E$21,5,TRUE)</f>
        <v>430</v>
      </c>
      <c r="M304" s="4">
        <f t="shared" si="32"/>
        <v>1280</v>
      </c>
      <c r="N304" s="4">
        <f t="shared" si="33"/>
        <v>1720</v>
      </c>
      <c r="O304" s="4">
        <f t="shared" si="34"/>
        <v>440</v>
      </c>
      <c r="P304" s="5">
        <f t="shared" si="35"/>
        <v>0.2558139534883721</v>
      </c>
      <c r="Q304" s="3" t="str">
        <f t="shared" si="36"/>
        <v>Medium_order</v>
      </c>
      <c r="R304" s="3" t="str">
        <f t="shared" si="37"/>
        <v>Senior</v>
      </c>
      <c r="S304" s="11" t="str">
        <f t="shared" si="38"/>
        <v>Low_profit</v>
      </c>
      <c r="T304" s="13" t="str">
        <f t="shared" si="39"/>
        <v>Apr</v>
      </c>
    </row>
    <row r="305" spans="1:20" x14ac:dyDescent="0.3">
      <c r="A305" s="9">
        <v>45483</v>
      </c>
      <c r="B305" s="3">
        <v>3304</v>
      </c>
      <c r="C305" s="3">
        <v>1020</v>
      </c>
      <c r="D305" s="3">
        <v>2019</v>
      </c>
      <c r="E305" s="3">
        <v>3</v>
      </c>
      <c r="F305" s="3">
        <f>VLOOKUP(Sheet1!$D305,Customers!$A$1:$D$51,2,TRUE)</f>
        <v>57</v>
      </c>
      <c r="G305" s="3" t="str">
        <f>VLOOKUP(Sheet1!$D305,Customers!$A$1:$D$51,3,TRUE)</f>
        <v>Male</v>
      </c>
      <c r="H305" s="3" t="str">
        <f>VLOOKUP(Sheet1!$D305,Customers!$A$1:$D$51,4,TRUE)</f>
        <v>Chandigarh</v>
      </c>
      <c r="I305" s="3" t="str">
        <f>VLOOKUP($C305,Products!$A$1:$E$21,2,TRUE)</f>
        <v>Water Bottle</v>
      </c>
      <c r="J305" s="3" t="str">
        <f>VLOOKUP($C305,Products!$A$1:$E$21,3,TRUE)</f>
        <v>Fitness</v>
      </c>
      <c r="K305" s="4">
        <f>VLOOKUP($C305,Products!$A$1:$E$21,4,TRUE)</f>
        <v>400</v>
      </c>
      <c r="L305" s="4">
        <f>VLOOKUP($C305,Products!$A$1:$E$21,5,TRUE)</f>
        <v>560</v>
      </c>
      <c r="M305" s="4">
        <f t="shared" si="32"/>
        <v>1200</v>
      </c>
      <c r="N305" s="4">
        <f t="shared" si="33"/>
        <v>1680</v>
      </c>
      <c r="O305" s="4">
        <f t="shared" si="34"/>
        <v>480</v>
      </c>
      <c r="P305" s="5">
        <f t="shared" si="35"/>
        <v>0.2857142857142857</v>
      </c>
      <c r="Q305" s="3" t="str">
        <f t="shared" si="36"/>
        <v>Medium_order</v>
      </c>
      <c r="R305" s="3" t="str">
        <f t="shared" si="37"/>
        <v>Senior</v>
      </c>
      <c r="S305" s="11" t="str">
        <f t="shared" si="38"/>
        <v>Low_profit</v>
      </c>
      <c r="T305" s="13" t="str">
        <f t="shared" si="39"/>
        <v>Jul</v>
      </c>
    </row>
    <row r="306" spans="1:20" x14ac:dyDescent="0.3">
      <c r="A306" s="9">
        <v>45616</v>
      </c>
      <c r="B306" s="3">
        <v>3305</v>
      </c>
      <c r="C306" s="3">
        <v>1011</v>
      </c>
      <c r="D306" s="3">
        <v>2027</v>
      </c>
      <c r="E306" s="3">
        <v>6</v>
      </c>
      <c r="F306" s="3">
        <f>VLOOKUP(Sheet1!$D306,Customers!$A$1:$D$51,2,TRUE)</f>
        <v>27</v>
      </c>
      <c r="G306" s="3" t="str">
        <f>VLOOKUP(Sheet1!$D306,Customers!$A$1:$D$51,3,TRUE)</f>
        <v>Female</v>
      </c>
      <c r="H306" s="3" t="str">
        <f>VLOOKUP(Sheet1!$D306,Customers!$A$1:$D$51,4,TRUE)</f>
        <v>Chandigarh</v>
      </c>
      <c r="I306" s="3" t="str">
        <f>VLOOKUP($C306,Products!$A$1:$E$21,2,TRUE)</f>
        <v>Notebook</v>
      </c>
      <c r="J306" s="3" t="str">
        <f>VLOOKUP($C306,Products!$A$1:$E$21,3,TRUE)</f>
        <v>Office</v>
      </c>
      <c r="K306" s="4">
        <f>VLOOKUP($C306,Products!$A$1:$E$21,4,TRUE)</f>
        <v>120</v>
      </c>
      <c r="L306" s="4">
        <f>VLOOKUP($C306,Products!$A$1:$E$21,5,TRUE)</f>
        <v>180</v>
      </c>
      <c r="M306" s="4">
        <f t="shared" si="32"/>
        <v>720</v>
      </c>
      <c r="N306" s="4">
        <f t="shared" si="33"/>
        <v>1080</v>
      </c>
      <c r="O306" s="4">
        <f t="shared" si="34"/>
        <v>360</v>
      </c>
      <c r="P306" s="5">
        <f t="shared" si="35"/>
        <v>0.33333333333333331</v>
      </c>
      <c r="Q306" s="3" t="str">
        <f t="shared" si="36"/>
        <v>Low_order</v>
      </c>
      <c r="R306" s="3" t="str">
        <f t="shared" si="37"/>
        <v>Young</v>
      </c>
      <c r="S306" s="11" t="str">
        <f t="shared" si="38"/>
        <v>Medium_profit</v>
      </c>
      <c r="T306" s="13" t="str">
        <f t="shared" si="39"/>
        <v>Nov</v>
      </c>
    </row>
    <row r="307" spans="1:20" x14ac:dyDescent="0.3">
      <c r="A307" s="9">
        <v>45324</v>
      </c>
      <c r="B307" s="3">
        <v>3306</v>
      </c>
      <c r="C307" s="3">
        <v>1010</v>
      </c>
      <c r="D307" s="3">
        <v>2046</v>
      </c>
      <c r="E307" s="3">
        <v>6</v>
      </c>
      <c r="F307" s="3">
        <f>VLOOKUP(Sheet1!$D307,Customers!$A$1:$D$51,2,TRUE)</f>
        <v>52</v>
      </c>
      <c r="G307" s="3" t="str">
        <f>VLOOKUP(Sheet1!$D307,Customers!$A$1:$D$51,3,TRUE)</f>
        <v>Male</v>
      </c>
      <c r="H307" s="3" t="str">
        <f>VLOOKUP(Sheet1!$D307,Customers!$A$1:$D$51,4,TRUE)</f>
        <v>Pune</v>
      </c>
      <c r="I307" s="3" t="str">
        <f>VLOOKUP($C307,Products!$A$1:$E$21,2,TRUE)</f>
        <v>Laptop Sleeve</v>
      </c>
      <c r="J307" s="3" t="str">
        <f>VLOOKUP($C307,Products!$A$1:$E$21,3,TRUE)</f>
        <v>Accessories</v>
      </c>
      <c r="K307" s="4">
        <f>VLOOKUP($C307,Products!$A$1:$E$21,4,TRUE)</f>
        <v>290</v>
      </c>
      <c r="L307" s="4">
        <f>VLOOKUP($C307,Products!$A$1:$E$21,5,TRUE)</f>
        <v>470</v>
      </c>
      <c r="M307" s="4">
        <f t="shared" si="32"/>
        <v>1740</v>
      </c>
      <c r="N307" s="4">
        <f t="shared" si="33"/>
        <v>2820</v>
      </c>
      <c r="O307" s="4">
        <f t="shared" si="34"/>
        <v>1080</v>
      </c>
      <c r="P307" s="5">
        <f t="shared" si="35"/>
        <v>0.38297872340425532</v>
      </c>
      <c r="Q307" s="3" t="str">
        <f t="shared" si="36"/>
        <v>High_order</v>
      </c>
      <c r="R307" s="3" t="str">
        <f t="shared" si="37"/>
        <v>Senior</v>
      </c>
      <c r="S307" s="11" t="str">
        <f t="shared" si="38"/>
        <v>Medium_profit</v>
      </c>
      <c r="T307" s="13" t="str">
        <f t="shared" si="39"/>
        <v>Feb</v>
      </c>
    </row>
    <row r="308" spans="1:20" x14ac:dyDescent="0.3">
      <c r="A308" s="9">
        <v>45404</v>
      </c>
      <c r="B308" s="3">
        <v>3307</v>
      </c>
      <c r="C308" s="3">
        <v>1009</v>
      </c>
      <c r="D308" s="3">
        <v>2009</v>
      </c>
      <c r="E308" s="3">
        <v>5</v>
      </c>
      <c r="F308" s="3">
        <f>VLOOKUP(Sheet1!$D308,Customers!$A$1:$D$51,2,TRUE)</f>
        <v>57</v>
      </c>
      <c r="G308" s="3" t="str">
        <f>VLOOKUP(Sheet1!$D308,Customers!$A$1:$D$51,3,TRUE)</f>
        <v>Female</v>
      </c>
      <c r="H308" s="3" t="str">
        <f>VLOOKUP(Sheet1!$D308,Customers!$A$1:$D$51,4,TRUE)</f>
        <v>Pune</v>
      </c>
      <c r="I308" s="3" t="str">
        <f>VLOOKUP($C308,Products!$A$1:$E$21,2,TRUE)</f>
        <v>Power Bank</v>
      </c>
      <c r="J308" s="3" t="str">
        <f>VLOOKUP($C308,Products!$A$1:$E$21,3,TRUE)</f>
        <v>Accessories</v>
      </c>
      <c r="K308" s="4">
        <f>VLOOKUP($C308,Products!$A$1:$E$21,4,TRUE)</f>
        <v>50</v>
      </c>
      <c r="L308" s="4">
        <f>VLOOKUP($C308,Products!$A$1:$E$21,5,TRUE)</f>
        <v>220</v>
      </c>
      <c r="M308" s="4">
        <f t="shared" si="32"/>
        <v>250</v>
      </c>
      <c r="N308" s="4">
        <f t="shared" si="33"/>
        <v>1100</v>
      </c>
      <c r="O308" s="4">
        <f t="shared" si="34"/>
        <v>850</v>
      </c>
      <c r="P308" s="5">
        <f t="shared" si="35"/>
        <v>0.77272727272727271</v>
      </c>
      <c r="Q308" s="3" t="str">
        <f t="shared" si="36"/>
        <v>Low_order</v>
      </c>
      <c r="R308" s="3" t="str">
        <f t="shared" si="37"/>
        <v>Senior</v>
      </c>
      <c r="S308" s="11" t="str">
        <f t="shared" si="38"/>
        <v>High_profit</v>
      </c>
      <c r="T308" s="13" t="str">
        <f t="shared" si="39"/>
        <v>Apr</v>
      </c>
    </row>
    <row r="309" spans="1:20" x14ac:dyDescent="0.3">
      <c r="A309" s="9">
        <v>45397</v>
      </c>
      <c r="B309" s="3">
        <v>3308</v>
      </c>
      <c r="C309" s="3">
        <v>1007</v>
      </c>
      <c r="D309" s="3">
        <v>2037</v>
      </c>
      <c r="E309" s="3">
        <v>6</v>
      </c>
      <c r="F309" s="3">
        <f>VLOOKUP(Sheet1!$D309,Customers!$A$1:$D$51,2,TRUE)</f>
        <v>38</v>
      </c>
      <c r="G309" s="3" t="str">
        <f>VLOOKUP(Sheet1!$D309,Customers!$A$1:$D$51,3,TRUE)</f>
        <v>Male</v>
      </c>
      <c r="H309" s="3" t="str">
        <f>VLOOKUP(Sheet1!$D309,Customers!$A$1:$D$51,4,TRUE)</f>
        <v>Chandigarh</v>
      </c>
      <c r="I309" s="3" t="str">
        <f>VLOOKUP($C309,Products!$A$1:$E$21,2,TRUE)</f>
        <v>Charger</v>
      </c>
      <c r="J309" s="3" t="str">
        <f>VLOOKUP($C309,Products!$A$1:$E$21,3,TRUE)</f>
        <v>Accessories</v>
      </c>
      <c r="K309" s="4">
        <f>VLOOKUP($C309,Products!$A$1:$E$21,4,TRUE)</f>
        <v>160</v>
      </c>
      <c r="L309" s="4">
        <f>VLOOKUP($C309,Products!$A$1:$E$21,5,TRUE)</f>
        <v>230</v>
      </c>
      <c r="M309" s="4">
        <f t="shared" si="32"/>
        <v>960</v>
      </c>
      <c r="N309" s="4">
        <f t="shared" si="33"/>
        <v>1380</v>
      </c>
      <c r="O309" s="4">
        <f t="shared" si="34"/>
        <v>420</v>
      </c>
      <c r="P309" s="5">
        <f t="shared" si="35"/>
        <v>0.30434782608695654</v>
      </c>
      <c r="Q309" s="3" t="str">
        <f t="shared" si="36"/>
        <v>Medium_order</v>
      </c>
      <c r="R309" s="3" t="str">
        <f t="shared" si="37"/>
        <v>Middle_age</v>
      </c>
      <c r="S309" s="11" t="str">
        <f t="shared" si="38"/>
        <v>Low_profit</v>
      </c>
      <c r="T309" s="13" t="str">
        <f t="shared" si="39"/>
        <v>Apr</v>
      </c>
    </row>
    <row r="310" spans="1:20" x14ac:dyDescent="0.3">
      <c r="A310" s="9">
        <v>45374</v>
      </c>
      <c r="B310" s="3">
        <v>3309</v>
      </c>
      <c r="C310" s="3">
        <v>1001</v>
      </c>
      <c r="D310" s="3">
        <v>2005</v>
      </c>
      <c r="E310" s="3">
        <v>1</v>
      </c>
      <c r="F310" s="3">
        <f>VLOOKUP(Sheet1!$D310,Customers!$A$1:$D$51,2,TRUE)</f>
        <v>56</v>
      </c>
      <c r="G310" s="3" t="str">
        <f>VLOOKUP(Sheet1!$D310,Customers!$A$1:$D$51,3,TRUE)</f>
        <v>Female</v>
      </c>
      <c r="H310" s="3" t="str">
        <f>VLOOKUP(Sheet1!$D310,Customers!$A$1:$D$51,4,TRUE)</f>
        <v>Hyderabad</v>
      </c>
      <c r="I310" s="3" t="str">
        <f>VLOOKUP($C310,Products!$A$1:$E$21,2,TRUE)</f>
        <v>Headphones</v>
      </c>
      <c r="J310" s="3" t="str">
        <f>VLOOKUP($C310,Products!$A$1:$E$21,3,TRUE)</f>
        <v>Electronics</v>
      </c>
      <c r="K310" s="4">
        <f>VLOOKUP($C310,Products!$A$1:$E$21,4,TRUE)</f>
        <v>380</v>
      </c>
      <c r="L310" s="4">
        <f>VLOOKUP($C310,Products!$A$1:$E$21,5,TRUE)</f>
        <v>550</v>
      </c>
      <c r="M310" s="4">
        <f t="shared" si="32"/>
        <v>380</v>
      </c>
      <c r="N310" s="4">
        <f t="shared" si="33"/>
        <v>550</v>
      </c>
      <c r="O310" s="4">
        <f t="shared" si="34"/>
        <v>170</v>
      </c>
      <c r="P310" s="5">
        <f t="shared" si="35"/>
        <v>0.30909090909090908</v>
      </c>
      <c r="Q310" s="3" t="str">
        <f t="shared" si="36"/>
        <v>Low_order</v>
      </c>
      <c r="R310" s="3" t="str">
        <f t="shared" si="37"/>
        <v>Senior</v>
      </c>
      <c r="S310" s="11" t="str">
        <f t="shared" si="38"/>
        <v>Low_profit</v>
      </c>
      <c r="T310" s="13" t="str">
        <f t="shared" si="39"/>
        <v>Mar</v>
      </c>
    </row>
    <row r="311" spans="1:20" x14ac:dyDescent="0.3">
      <c r="A311" s="9">
        <v>45427</v>
      </c>
      <c r="B311" s="3">
        <v>3310</v>
      </c>
      <c r="C311" s="3">
        <v>1006</v>
      </c>
      <c r="D311" s="3">
        <v>2018</v>
      </c>
      <c r="E311" s="3">
        <v>7</v>
      </c>
      <c r="F311" s="3">
        <f>VLOOKUP(Sheet1!$D311,Customers!$A$1:$D$51,2,TRUE)</f>
        <v>38</v>
      </c>
      <c r="G311" s="3" t="str">
        <f>VLOOKUP(Sheet1!$D311,Customers!$A$1:$D$51,3,TRUE)</f>
        <v>Female</v>
      </c>
      <c r="H311" s="3" t="str">
        <f>VLOOKUP(Sheet1!$D311,Customers!$A$1:$D$51,4,TRUE)</f>
        <v>Pune</v>
      </c>
      <c r="I311" s="3" t="str">
        <f>VLOOKUP($C311,Products!$A$1:$E$21,2,TRUE)</f>
        <v>Phone Case</v>
      </c>
      <c r="J311" s="3" t="str">
        <f>VLOOKUP($C311,Products!$A$1:$E$21,3,TRUE)</f>
        <v>Accessories</v>
      </c>
      <c r="K311" s="4">
        <f>VLOOKUP($C311,Products!$A$1:$E$21,4,TRUE)</f>
        <v>320</v>
      </c>
      <c r="L311" s="4">
        <f>VLOOKUP($C311,Products!$A$1:$E$21,5,TRUE)</f>
        <v>430</v>
      </c>
      <c r="M311" s="4">
        <f t="shared" si="32"/>
        <v>2240</v>
      </c>
      <c r="N311" s="4">
        <f t="shared" si="33"/>
        <v>3010</v>
      </c>
      <c r="O311" s="4">
        <f t="shared" si="34"/>
        <v>770</v>
      </c>
      <c r="P311" s="5">
        <f t="shared" si="35"/>
        <v>0.2558139534883721</v>
      </c>
      <c r="Q311" s="3" t="str">
        <f t="shared" si="36"/>
        <v>High_order</v>
      </c>
      <c r="R311" s="3" t="str">
        <f t="shared" si="37"/>
        <v>Middle_age</v>
      </c>
      <c r="S311" s="11" t="str">
        <f t="shared" si="38"/>
        <v>Low_profit</v>
      </c>
      <c r="T311" s="13" t="str">
        <f t="shared" si="39"/>
        <v>May</v>
      </c>
    </row>
    <row r="312" spans="1:20" x14ac:dyDescent="0.3">
      <c r="A312" s="9">
        <v>45353</v>
      </c>
      <c r="B312" s="3">
        <v>3311</v>
      </c>
      <c r="C312" s="3">
        <v>1006</v>
      </c>
      <c r="D312" s="3">
        <v>2048</v>
      </c>
      <c r="E312" s="3">
        <v>5</v>
      </c>
      <c r="F312" s="3">
        <f>VLOOKUP(Sheet1!$D312,Customers!$A$1:$D$51,2,TRUE)</f>
        <v>41</v>
      </c>
      <c r="G312" s="3" t="str">
        <f>VLOOKUP(Sheet1!$D312,Customers!$A$1:$D$51,3,TRUE)</f>
        <v>Female</v>
      </c>
      <c r="H312" s="3" t="str">
        <f>VLOOKUP(Sheet1!$D312,Customers!$A$1:$D$51,4,TRUE)</f>
        <v>Mumbai</v>
      </c>
      <c r="I312" s="3" t="str">
        <f>VLOOKUP($C312,Products!$A$1:$E$21,2,TRUE)</f>
        <v>Phone Case</v>
      </c>
      <c r="J312" s="3" t="str">
        <f>VLOOKUP($C312,Products!$A$1:$E$21,3,TRUE)</f>
        <v>Accessories</v>
      </c>
      <c r="K312" s="4">
        <f>VLOOKUP($C312,Products!$A$1:$E$21,4,TRUE)</f>
        <v>320</v>
      </c>
      <c r="L312" s="4">
        <f>VLOOKUP($C312,Products!$A$1:$E$21,5,TRUE)</f>
        <v>430</v>
      </c>
      <c r="M312" s="4">
        <f t="shared" si="32"/>
        <v>1600</v>
      </c>
      <c r="N312" s="4">
        <f t="shared" si="33"/>
        <v>2150</v>
      </c>
      <c r="O312" s="4">
        <f t="shared" si="34"/>
        <v>550</v>
      </c>
      <c r="P312" s="5">
        <f t="shared" si="35"/>
        <v>0.2558139534883721</v>
      </c>
      <c r="Q312" s="3" t="str">
        <f t="shared" si="36"/>
        <v>Medium_order</v>
      </c>
      <c r="R312" s="3" t="str">
        <f t="shared" si="37"/>
        <v>Senior</v>
      </c>
      <c r="S312" s="11" t="str">
        <f t="shared" si="38"/>
        <v>Low_profit</v>
      </c>
      <c r="T312" s="13" t="str">
        <f t="shared" si="39"/>
        <v>Mar</v>
      </c>
    </row>
    <row r="313" spans="1:20" x14ac:dyDescent="0.3">
      <c r="A313" s="9">
        <v>45648</v>
      </c>
      <c r="B313" s="3">
        <v>3312</v>
      </c>
      <c r="C313" s="3">
        <v>1014</v>
      </c>
      <c r="D313" s="3">
        <v>2017</v>
      </c>
      <c r="E313" s="3">
        <v>6</v>
      </c>
      <c r="F313" s="3">
        <f>VLOOKUP(Sheet1!$D313,Customers!$A$1:$D$51,2,TRUE)</f>
        <v>32</v>
      </c>
      <c r="G313" s="3" t="str">
        <f>VLOOKUP(Sheet1!$D313,Customers!$A$1:$D$51,3,TRUE)</f>
        <v>Male</v>
      </c>
      <c r="H313" s="3" t="str">
        <f>VLOOKUP(Sheet1!$D313,Customers!$A$1:$D$51,4,TRUE)</f>
        <v>Delhi</v>
      </c>
      <c r="I313" s="3" t="str">
        <f>VLOOKUP($C313,Products!$A$1:$E$21,2,TRUE)</f>
        <v>Stapler</v>
      </c>
      <c r="J313" s="3" t="str">
        <f>VLOOKUP($C313,Products!$A$1:$E$21,3,TRUE)</f>
        <v>Office</v>
      </c>
      <c r="K313" s="4">
        <f>VLOOKUP($C313,Products!$A$1:$E$21,4,TRUE)</f>
        <v>170</v>
      </c>
      <c r="L313" s="4">
        <f>VLOOKUP($C313,Products!$A$1:$E$21,5,TRUE)</f>
        <v>280</v>
      </c>
      <c r="M313" s="4">
        <f t="shared" si="32"/>
        <v>1020</v>
      </c>
      <c r="N313" s="4">
        <f t="shared" si="33"/>
        <v>1680</v>
      </c>
      <c r="O313" s="4">
        <f t="shared" si="34"/>
        <v>660</v>
      </c>
      <c r="P313" s="5">
        <f t="shared" si="35"/>
        <v>0.39285714285714285</v>
      </c>
      <c r="Q313" s="3" t="str">
        <f t="shared" si="36"/>
        <v>Medium_order</v>
      </c>
      <c r="R313" s="3" t="str">
        <f t="shared" si="37"/>
        <v>Middle_age</v>
      </c>
      <c r="S313" s="11" t="str">
        <f t="shared" si="38"/>
        <v>Medium_profit</v>
      </c>
      <c r="T313" s="13" t="str">
        <f t="shared" si="39"/>
        <v>Dec</v>
      </c>
    </row>
    <row r="314" spans="1:20" x14ac:dyDescent="0.3">
      <c r="A314" s="9">
        <v>45467</v>
      </c>
      <c r="B314" s="3">
        <v>3313</v>
      </c>
      <c r="C314" s="3">
        <v>1007</v>
      </c>
      <c r="D314" s="3">
        <v>2011</v>
      </c>
      <c r="E314" s="3">
        <v>2</v>
      </c>
      <c r="F314" s="3">
        <f>VLOOKUP(Sheet1!$D314,Customers!$A$1:$D$51,2,TRUE)</f>
        <v>33</v>
      </c>
      <c r="G314" s="3" t="str">
        <f>VLOOKUP(Sheet1!$D314,Customers!$A$1:$D$51,3,TRUE)</f>
        <v>Female</v>
      </c>
      <c r="H314" s="3" t="str">
        <f>VLOOKUP(Sheet1!$D314,Customers!$A$1:$D$51,4,TRUE)</f>
        <v>Chandigarh</v>
      </c>
      <c r="I314" s="3" t="str">
        <f>VLOOKUP($C314,Products!$A$1:$E$21,2,TRUE)</f>
        <v>Charger</v>
      </c>
      <c r="J314" s="3" t="str">
        <f>VLOOKUP($C314,Products!$A$1:$E$21,3,TRUE)</f>
        <v>Accessories</v>
      </c>
      <c r="K314" s="4">
        <f>VLOOKUP($C314,Products!$A$1:$E$21,4,TRUE)</f>
        <v>160</v>
      </c>
      <c r="L314" s="4">
        <f>VLOOKUP($C314,Products!$A$1:$E$21,5,TRUE)</f>
        <v>230</v>
      </c>
      <c r="M314" s="4">
        <f t="shared" si="32"/>
        <v>320</v>
      </c>
      <c r="N314" s="4">
        <f t="shared" si="33"/>
        <v>460</v>
      </c>
      <c r="O314" s="4">
        <f t="shared" si="34"/>
        <v>140</v>
      </c>
      <c r="P314" s="5">
        <f t="shared" si="35"/>
        <v>0.30434782608695654</v>
      </c>
      <c r="Q314" s="3" t="str">
        <f t="shared" si="36"/>
        <v>Low_order</v>
      </c>
      <c r="R314" s="3" t="str">
        <f t="shared" si="37"/>
        <v>Middle_age</v>
      </c>
      <c r="S314" s="11" t="str">
        <f t="shared" si="38"/>
        <v>Low_profit</v>
      </c>
      <c r="T314" s="13" t="str">
        <f t="shared" si="39"/>
        <v>Jun</v>
      </c>
    </row>
    <row r="315" spans="1:20" x14ac:dyDescent="0.3">
      <c r="A315" s="9">
        <v>45297</v>
      </c>
      <c r="B315" s="3">
        <v>3314</v>
      </c>
      <c r="C315" s="3">
        <v>1006</v>
      </c>
      <c r="D315" s="3">
        <v>2047</v>
      </c>
      <c r="E315" s="3">
        <v>3</v>
      </c>
      <c r="F315" s="3">
        <f>VLOOKUP(Sheet1!$D315,Customers!$A$1:$D$51,2,TRUE)</f>
        <v>28</v>
      </c>
      <c r="G315" s="3" t="str">
        <f>VLOOKUP(Sheet1!$D315,Customers!$A$1:$D$51,3,TRUE)</f>
        <v>Male</v>
      </c>
      <c r="H315" s="3" t="str">
        <f>VLOOKUP(Sheet1!$D315,Customers!$A$1:$D$51,4,TRUE)</f>
        <v>Chandigarh</v>
      </c>
      <c r="I315" s="3" t="str">
        <f>VLOOKUP($C315,Products!$A$1:$E$21,2,TRUE)</f>
        <v>Phone Case</v>
      </c>
      <c r="J315" s="3" t="str">
        <f>VLOOKUP($C315,Products!$A$1:$E$21,3,TRUE)</f>
        <v>Accessories</v>
      </c>
      <c r="K315" s="4">
        <f>VLOOKUP($C315,Products!$A$1:$E$21,4,TRUE)</f>
        <v>320</v>
      </c>
      <c r="L315" s="4">
        <f>VLOOKUP($C315,Products!$A$1:$E$21,5,TRUE)</f>
        <v>430</v>
      </c>
      <c r="M315" s="4">
        <f t="shared" si="32"/>
        <v>960</v>
      </c>
      <c r="N315" s="4">
        <f t="shared" si="33"/>
        <v>1290</v>
      </c>
      <c r="O315" s="4">
        <f t="shared" si="34"/>
        <v>330</v>
      </c>
      <c r="P315" s="5">
        <f t="shared" si="35"/>
        <v>0.2558139534883721</v>
      </c>
      <c r="Q315" s="3" t="str">
        <f t="shared" si="36"/>
        <v>Medium_order</v>
      </c>
      <c r="R315" s="3" t="str">
        <f t="shared" si="37"/>
        <v>Young</v>
      </c>
      <c r="S315" s="11" t="str">
        <f t="shared" si="38"/>
        <v>Low_profit</v>
      </c>
      <c r="T315" s="13" t="str">
        <f t="shared" si="39"/>
        <v>Jan</v>
      </c>
    </row>
    <row r="316" spans="1:20" x14ac:dyDescent="0.3">
      <c r="A316" s="9">
        <v>45616</v>
      </c>
      <c r="B316" s="3">
        <v>3315</v>
      </c>
      <c r="C316" s="3">
        <v>1014</v>
      </c>
      <c r="D316" s="3">
        <v>2030</v>
      </c>
      <c r="E316" s="3">
        <v>4</v>
      </c>
      <c r="F316" s="3">
        <f>VLOOKUP(Sheet1!$D316,Customers!$A$1:$D$51,2,TRUE)</f>
        <v>46</v>
      </c>
      <c r="G316" s="3" t="str">
        <f>VLOOKUP(Sheet1!$D316,Customers!$A$1:$D$51,3,TRUE)</f>
        <v>Female</v>
      </c>
      <c r="H316" s="3" t="str">
        <f>VLOOKUP(Sheet1!$D316,Customers!$A$1:$D$51,4,TRUE)</f>
        <v>Bangalore</v>
      </c>
      <c r="I316" s="3" t="str">
        <f>VLOOKUP($C316,Products!$A$1:$E$21,2,TRUE)</f>
        <v>Stapler</v>
      </c>
      <c r="J316" s="3" t="str">
        <f>VLOOKUP($C316,Products!$A$1:$E$21,3,TRUE)</f>
        <v>Office</v>
      </c>
      <c r="K316" s="4">
        <f>VLOOKUP($C316,Products!$A$1:$E$21,4,TRUE)</f>
        <v>170</v>
      </c>
      <c r="L316" s="4">
        <f>VLOOKUP($C316,Products!$A$1:$E$21,5,TRUE)</f>
        <v>280</v>
      </c>
      <c r="M316" s="4">
        <f t="shared" si="32"/>
        <v>680</v>
      </c>
      <c r="N316" s="4">
        <f t="shared" si="33"/>
        <v>1120</v>
      </c>
      <c r="O316" s="4">
        <f t="shared" si="34"/>
        <v>440</v>
      </c>
      <c r="P316" s="5">
        <f t="shared" si="35"/>
        <v>0.39285714285714285</v>
      </c>
      <c r="Q316" s="3" t="str">
        <f t="shared" si="36"/>
        <v>Low_order</v>
      </c>
      <c r="R316" s="3" t="str">
        <f t="shared" si="37"/>
        <v>Senior</v>
      </c>
      <c r="S316" s="11" t="str">
        <f t="shared" si="38"/>
        <v>Medium_profit</v>
      </c>
      <c r="T316" s="13" t="str">
        <f t="shared" si="39"/>
        <v>Nov</v>
      </c>
    </row>
    <row r="317" spans="1:20" x14ac:dyDescent="0.3">
      <c r="A317" s="9">
        <v>45374</v>
      </c>
      <c r="B317" s="3">
        <v>3316</v>
      </c>
      <c r="C317" s="3">
        <v>1011</v>
      </c>
      <c r="D317" s="3">
        <v>2037</v>
      </c>
      <c r="E317" s="3">
        <v>6</v>
      </c>
      <c r="F317" s="3">
        <f>VLOOKUP(Sheet1!$D317,Customers!$A$1:$D$51,2,TRUE)</f>
        <v>38</v>
      </c>
      <c r="G317" s="3" t="str">
        <f>VLOOKUP(Sheet1!$D317,Customers!$A$1:$D$51,3,TRUE)</f>
        <v>Male</v>
      </c>
      <c r="H317" s="3" t="str">
        <f>VLOOKUP(Sheet1!$D317,Customers!$A$1:$D$51,4,TRUE)</f>
        <v>Chandigarh</v>
      </c>
      <c r="I317" s="3" t="str">
        <f>VLOOKUP($C317,Products!$A$1:$E$21,2,TRUE)</f>
        <v>Notebook</v>
      </c>
      <c r="J317" s="3" t="str">
        <f>VLOOKUP($C317,Products!$A$1:$E$21,3,TRUE)</f>
        <v>Office</v>
      </c>
      <c r="K317" s="4">
        <f>VLOOKUP($C317,Products!$A$1:$E$21,4,TRUE)</f>
        <v>120</v>
      </c>
      <c r="L317" s="4">
        <f>VLOOKUP($C317,Products!$A$1:$E$21,5,TRUE)</f>
        <v>180</v>
      </c>
      <c r="M317" s="4">
        <f t="shared" si="32"/>
        <v>720</v>
      </c>
      <c r="N317" s="4">
        <f t="shared" si="33"/>
        <v>1080</v>
      </c>
      <c r="O317" s="4">
        <f t="shared" si="34"/>
        <v>360</v>
      </c>
      <c r="P317" s="5">
        <f t="shared" si="35"/>
        <v>0.33333333333333331</v>
      </c>
      <c r="Q317" s="3" t="str">
        <f t="shared" si="36"/>
        <v>Low_order</v>
      </c>
      <c r="R317" s="3" t="str">
        <f t="shared" si="37"/>
        <v>Middle_age</v>
      </c>
      <c r="S317" s="11" t="str">
        <f t="shared" si="38"/>
        <v>Medium_profit</v>
      </c>
      <c r="T317" s="13" t="str">
        <f t="shared" si="39"/>
        <v>Mar</v>
      </c>
    </row>
    <row r="318" spans="1:20" x14ac:dyDescent="0.3">
      <c r="A318" s="9">
        <v>45627</v>
      </c>
      <c r="B318" s="3">
        <v>3317</v>
      </c>
      <c r="C318" s="3">
        <v>1020</v>
      </c>
      <c r="D318" s="3">
        <v>2036</v>
      </c>
      <c r="E318" s="3">
        <v>6</v>
      </c>
      <c r="F318" s="3">
        <f>VLOOKUP(Sheet1!$D318,Customers!$A$1:$D$51,2,TRUE)</f>
        <v>30</v>
      </c>
      <c r="G318" s="3" t="str">
        <f>VLOOKUP(Sheet1!$D318,Customers!$A$1:$D$51,3,TRUE)</f>
        <v>Male</v>
      </c>
      <c r="H318" s="3" t="str">
        <f>VLOOKUP(Sheet1!$D318,Customers!$A$1:$D$51,4,TRUE)</f>
        <v>Delhi</v>
      </c>
      <c r="I318" s="3" t="str">
        <f>VLOOKUP($C318,Products!$A$1:$E$21,2,TRUE)</f>
        <v>Water Bottle</v>
      </c>
      <c r="J318" s="3" t="str">
        <f>VLOOKUP($C318,Products!$A$1:$E$21,3,TRUE)</f>
        <v>Fitness</v>
      </c>
      <c r="K318" s="4">
        <f>VLOOKUP($C318,Products!$A$1:$E$21,4,TRUE)</f>
        <v>400</v>
      </c>
      <c r="L318" s="4">
        <f>VLOOKUP($C318,Products!$A$1:$E$21,5,TRUE)</f>
        <v>560</v>
      </c>
      <c r="M318" s="4">
        <f t="shared" si="32"/>
        <v>2400</v>
      </c>
      <c r="N318" s="4">
        <f t="shared" si="33"/>
        <v>3360</v>
      </c>
      <c r="O318" s="4">
        <f t="shared" si="34"/>
        <v>960</v>
      </c>
      <c r="P318" s="5">
        <f t="shared" si="35"/>
        <v>0.2857142857142857</v>
      </c>
      <c r="Q318" s="3" t="str">
        <f t="shared" si="36"/>
        <v>High_order</v>
      </c>
      <c r="R318" s="3" t="str">
        <f t="shared" si="37"/>
        <v>Young</v>
      </c>
      <c r="S318" s="11" t="str">
        <f t="shared" si="38"/>
        <v>Low_profit</v>
      </c>
      <c r="T318" s="13" t="str">
        <f t="shared" si="39"/>
        <v>Dec</v>
      </c>
    </row>
    <row r="319" spans="1:20" x14ac:dyDescent="0.3">
      <c r="A319" s="9">
        <v>45317</v>
      </c>
      <c r="B319" s="3">
        <v>3318</v>
      </c>
      <c r="C319" s="3">
        <v>1015</v>
      </c>
      <c r="D319" s="3">
        <v>2003</v>
      </c>
      <c r="E319" s="3">
        <v>5</v>
      </c>
      <c r="F319" s="3">
        <f>VLOOKUP(Sheet1!$D319,Customers!$A$1:$D$51,2,TRUE)</f>
        <v>23</v>
      </c>
      <c r="G319" s="3" t="str">
        <f>VLOOKUP(Sheet1!$D319,Customers!$A$1:$D$51,3,TRUE)</f>
        <v>Female</v>
      </c>
      <c r="H319" s="3" t="str">
        <f>VLOOKUP(Sheet1!$D319,Customers!$A$1:$D$51,4,TRUE)</f>
        <v>Bangalore</v>
      </c>
      <c r="I319" s="3" t="str">
        <f>VLOOKUP($C319,Products!$A$1:$E$21,2,TRUE)</f>
        <v>Organizer</v>
      </c>
      <c r="J319" s="3" t="str">
        <f>VLOOKUP($C319,Products!$A$1:$E$21,3,TRUE)</f>
        <v>Office</v>
      </c>
      <c r="K319" s="4">
        <f>VLOOKUP($C319,Products!$A$1:$E$21,4,TRUE)</f>
        <v>70</v>
      </c>
      <c r="L319" s="4">
        <f>VLOOKUP($C319,Products!$A$1:$E$21,5,TRUE)</f>
        <v>210</v>
      </c>
      <c r="M319" s="4">
        <f t="shared" si="32"/>
        <v>350</v>
      </c>
      <c r="N319" s="4">
        <f t="shared" si="33"/>
        <v>1050</v>
      </c>
      <c r="O319" s="4">
        <f t="shared" si="34"/>
        <v>700</v>
      </c>
      <c r="P319" s="5">
        <f t="shared" si="35"/>
        <v>0.66666666666666663</v>
      </c>
      <c r="Q319" s="3" t="str">
        <f t="shared" si="36"/>
        <v>Low_order</v>
      </c>
      <c r="R319" s="3" t="str">
        <f t="shared" si="37"/>
        <v>Young</v>
      </c>
      <c r="S319" s="11" t="str">
        <f t="shared" si="38"/>
        <v>High_profit</v>
      </c>
      <c r="T319" s="13" t="str">
        <f t="shared" si="39"/>
        <v>Jan</v>
      </c>
    </row>
    <row r="320" spans="1:20" x14ac:dyDescent="0.3">
      <c r="A320" s="9">
        <v>45572</v>
      </c>
      <c r="B320" s="3">
        <v>3319</v>
      </c>
      <c r="C320" s="3">
        <v>1017</v>
      </c>
      <c r="D320" s="3">
        <v>2038</v>
      </c>
      <c r="E320" s="3">
        <v>9</v>
      </c>
      <c r="F320" s="3">
        <f>VLOOKUP(Sheet1!$D320,Customers!$A$1:$D$51,2,TRUE)</f>
        <v>22</v>
      </c>
      <c r="G320" s="3" t="str">
        <f>VLOOKUP(Sheet1!$D320,Customers!$A$1:$D$51,3,TRUE)</f>
        <v>Male</v>
      </c>
      <c r="H320" s="3" t="str">
        <f>VLOOKUP(Sheet1!$D320,Customers!$A$1:$D$51,4,TRUE)</f>
        <v>Bangalore</v>
      </c>
      <c r="I320" s="3" t="str">
        <f>VLOOKUP($C320,Products!$A$1:$E$21,2,TRUE)</f>
        <v>Dumbbells</v>
      </c>
      <c r="J320" s="3" t="str">
        <f>VLOOKUP($C320,Products!$A$1:$E$21,3,TRUE)</f>
        <v>Fitness</v>
      </c>
      <c r="K320" s="4">
        <f>VLOOKUP($C320,Products!$A$1:$E$21,4,TRUE)</f>
        <v>120</v>
      </c>
      <c r="L320" s="4">
        <f>VLOOKUP($C320,Products!$A$1:$E$21,5,TRUE)</f>
        <v>200</v>
      </c>
      <c r="M320" s="4">
        <f t="shared" si="32"/>
        <v>1080</v>
      </c>
      <c r="N320" s="4">
        <f t="shared" si="33"/>
        <v>1800</v>
      </c>
      <c r="O320" s="4">
        <f t="shared" si="34"/>
        <v>720</v>
      </c>
      <c r="P320" s="5">
        <f t="shared" si="35"/>
        <v>0.4</v>
      </c>
      <c r="Q320" s="3" t="str">
        <f t="shared" si="36"/>
        <v>Medium_order</v>
      </c>
      <c r="R320" s="3" t="str">
        <f t="shared" si="37"/>
        <v>Young</v>
      </c>
      <c r="S320" s="11" t="str">
        <f t="shared" si="38"/>
        <v>Medium_profit</v>
      </c>
      <c r="T320" s="13" t="str">
        <f t="shared" si="39"/>
        <v>Oct</v>
      </c>
    </row>
    <row r="321" spans="1:20" x14ac:dyDescent="0.3">
      <c r="A321" s="9">
        <v>45458</v>
      </c>
      <c r="B321" s="3">
        <v>3320</v>
      </c>
      <c r="C321" s="3">
        <v>1003</v>
      </c>
      <c r="D321" s="3">
        <v>2035</v>
      </c>
      <c r="E321" s="3">
        <v>4</v>
      </c>
      <c r="F321" s="3">
        <f>VLOOKUP(Sheet1!$D321,Customers!$A$1:$D$51,2,TRUE)</f>
        <v>37</v>
      </c>
      <c r="G321" s="3" t="str">
        <f>VLOOKUP(Sheet1!$D321,Customers!$A$1:$D$51,3,TRUE)</f>
        <v>Female</v>
      </c>
      <c r="H321" s="3" t="str">
        <f>VLOOKUP(Sheet1!$D321,Customers!$A$1:$D$51,4,TRUE)</f>
        <v>Delhi</v>
      </c>
      <c r="I321" s="3" t="str">
        <f>VLOOKUP($C321,Products!$A$1:$E$21,2,TRUE)</f>
        <v>Mouse</v>
      </c>
      <c r="J321" s="3" t="str">
        <f>VLOOKUP($C321,Products!$A$1:$E$21,3,TRUE)</f>
        <v>Electronics</v>
      </c>
      <c r="K321" s="4">
        <f>VLOOKUP($C321,Products!$A$1:$E$21,4,TRUE)</f>
        <v>140</v>
      </c>
      <c r="L321" s="4">
        <f>VLOOKUP($C321,Products!$A$1:$E$21,5,TRUE)</f>
        <v>350</v>
      </c>
      <c r="M321" s="4">
        <f t="shared" si="32"/>
        <v>560</v>
      </c>
      <c r="N321" s="4">
        <f t="shared" si="33"/>
        <v>1400</v>
      </c>
      <c r="O321" s="4">
        <f t="shared" si="34"/>
        <v>840</v>
      </c>
      <c r="P321" s="5">
        <f t="shared" si="35"/>
        <v>0.6</v>
      </c>
      <c r="Q321" s="3" t="str">
        <f t="shared" si="36"/>
        <v>Medium_order</v>
      </c>
      <c r="R321" s="3" t="str">
        <f t="shared" si="37"/>
        <v>Middle_age</v>
      </c>
      <c r="S321" s="11" t="str">
        <f t="shared" si="38"/>
        <v>High_profit</v>
      </c>
      <c r="T321" s="13" t="str">
        <f t="shared" si="39"/>
        <v>Jun</v>
      </c>
    </row>
    <row r="322" spans="1:20" x14ac:dyDescent="0.3">
      <c r="A322" s="9">
        <v>45612</v>
      </c>
      <c r="B322" s="3">
        <v>3321</v>
      </c>
      <c r="C322" s="3">
        <v>1002</v>
      </c>
      <c r="D322" s="3">
        <v>2041</v>
      </c>
      <c r="E322" s="3">
        <v>10</v>
      </c>
      <c r="F322" s="3">
        <f>VLOOKUP(Sheet1!$D322,Customers!$A$1:$D$51,2,TRUE)</f>
        <v>28</v>
      </c>
      <c r="G322" s="3" t="str">
        <f>VLOOKUP(Sheet1!$D322,Customers!$A$1:$D$51,3,TRUE)</f>
        <v>Male</v>
      </c>
      <c r="H322" s="3" t="str">
        <f>VLOOKUP(Sheet1!$D322,Customers!$A$1:$D$51,4,TRUE)</f>
        <v>Pune</v>
      </c>
      <c r="I322" s="3" t="str">
        <f>VLOOKUP($C322,Products!$A$1:$E$21,2,TRUE)</f>
        <v>Keyboard</v>
      </c>
      <c r="J322" s="3" t="str">
        <f>VLOOKUP($C322,Products!$A$1:$E$21,3,TRUE)</f>
        <v>Electronics</v>
      </c>
      <c r="K322" s="4">
        <f>VLOOKUP($C322,Products!$A$1:$E$21,4,TRUE)</f>
        <v>230</v>
      </c>
      <c r="L322" s="4">
        <f>VLOOKUP($C322,Products!$A$1:$E$21,5,TRUE)</f>
        <v>400</v>
      </c>
      <c r="M322" s="4">
        <f t="shared" si="32"/>
        <v>2300</v>
      </c>
      <c r="N322" s="4">
        <f t="shared" si="33"/>
        <v>4000</v>
      </c>
      <c r="O322" s="4">
        <f t="shared" si="34"/>
        <v>1700</v>
      </c>
      <c r="P322" s="5">
        <f t="shared" si="35"/>
        <v>0.42499999999999999</v>
      </c>
      <c r="Q322" s="3" t="str">
        <f t="shared" si="36"/>
        <v>High_order</v>
      </c>
      <c r="R322" s="3" t="str">
        <f t="shared" si="37"/>
        <v>Young</v>
      </c>
      <c r="S322" s="11" t="str">
        <f t="shared" si="38"/>
        <v>High_profit</v>
      </c>
      <c r="T322" s="13" t="str">
        <f t="shared" si="39"/>
        <v>Nov</v>
      </c>
    </row>
    <row r="323" spans="1:20" x14ac:dyDescent="0.3">
      <c r="A323" s="9">
        <v>45323</v>
      </c>
      <c r="B323" s="3">
        <v>3322</v>
      </c>
      <c r="C323" s="3">
        <v>1020</v>
      </c>
      <c r="D323" s="3">
        <v>2032</v>
      </c>
      <c r="E323" s="3">
        <v>10</v>
      </c>
      <c r="F323" s="3">
        <f>VLOOKUP(Sheet1!$D323,Customers!$A$1:$D$51,2,TRUE)</f>
        <v>42</v>
      </c>
      <c r="G323" s="3" t="str">
        <f>VLOOKUP(Sheet1!$D323,Customers!$A$1:$D$51,3,TRUE)</f>
        <v>Male</v>
      </c>
      <c r="H323" s="3" t="str">
        <f>VLOOKUP(Sheet1!$D323,Customers!$A$1:$D$51,4,TRUE)</f>
        <v>Hyderabad</v>
      </c>
      <c r="I323" s="3" t="str">
        <f>VLOOKUP($C323,Products!$A$1:$E$21,2,TRUE)</f>
        <v>Water Bottle</v>
      </c>
      <c r="J323" s="3" t="str">
        <f>VLOOKUP($C323,Products!$A$1:$E$21,3,TRUE)</f>
        <v>Fitness</v>
      </c>
      <c r="K323" s="4">
        <f>VLOOKUP($C323,Products!$A$1:$E$21,4,TRUE)</f>
        <v>400</v>
      </c>
      <c r="L323" s="4">
        <f>VLOOKUP($C323,Products!$A$1:$E$21,5,TRUE)</f>
        <v>560</v>
      </c>
      <c r="M323" s="4">
        <f t="shared" ref="M323:M386" si="40">$K323*$E323</f>
        <v>4000</v>
      </c>
      <c r="N323" s="4">
        <f t="shared" ref="N323:N386" si="41">$L323*$E323</f>
        <v>5600</v>
      </c>
      <c r="O323" s="4">
        <f t="shared" ref="O323:O386" si="42">$N323-$M323</f>
        <v>1600</v>
      </c>
      <c r="P323" s="5">
        <f t="shared" ref="P323:P386" si="43">$O323/$N323</f>
        <v>0.2857142857142857</v>
      </c>
      <c r="Q323" s="3" t="str">
        <f t="shared" ref="Q323:Q386" si="44">IF($N323&lt;$N$508,"Low_order",IF($N323&lt;$N$509,"Medium_order","High_order"))</f>
        <v>High_order</v>
      </c>
      <c r="R323" s="3" t="str">
        <f t="shared" ref="R323:R386" si="45">IF($F323&lt;$F$508,"Young",IF($F323&lt;$F$509,"Middle_age","Senior"))</f>
        <v>Senior</v>
      </c>
      <c r="S323" s="11" t="str">
        <f t="shared" ref="S323:S386" si="46">IF(P323&lt;$P$508,"Low_profit",IF(P323&lt;$P$509,"Medium_profit","High_profit"))</f>
        <v>Low_profit</v>
      </c>
      <c r="T323" s="13" t="str">
        <f t="shared" ref="T323:T386" si="47">TEXT(A323,"MMM")</f>
        <v>Feb</v>
      </c>
    </row>
    <row r="324" spans="1:20" x14ac:dyDescent="0.3">
      <c r="A324" s="9">
        <v>45359</v>
      </c>
      <c r="B324" s="3">
        <v>3323</v>
      </c>
      <c r="C324" s="3">
        <v>1002</v>
      </c>
      <c r="D324" s="3">
        <v>2038</v>
      </c>
      <c r="E324" s="3">
        <v>2</v>
      </c>
      <c r="F324" s="3">
        <f>VLOOKUP(Sheet1!$D324,Customers!$A$1:$D$51,2,TRUE)</f>
        <v>22</v>
      </c>
      <c r="G324" s="3" t="str">
        <f>VLOOKUP(Sheet1!$D324,Customers!$A$1:$D$51,3,TRUE)</f>
        <v>Male</v>
      </c>
      <c r="H324" s="3" t="str">
        <f>VLOOKUP(Sheet1!$D324,Customers!$A$1:$D$51,4,TRUE)</f>
        <v>Bangalore</v>
      </c>
      <c r="I324" s="3" t="str">
        <f>VLOOKUP($C324,Products!$A$1:$E$21,2,TRUE)</f>
        <v>Keyboard</v>
      </c>
      <c r="J324" s="3" t="str">
        <f>VLOOKUP($C324,Products!$A$1:$E$21,3,TRUE)</f>
        <v>Electronics</v>
      </c>
      <c r="K324" s="4">
        <f>VLOOKUP($C324,Products!$A$1:$E$21,4,TRUE)</f>
        <v>230</v>
      </c>
      <c r="L324" s="4">
        <f>VLOOKUP($C324,Products!$A$1:$E$21,5,TRUE)</f>
        <v>400</v>
      </c>
      <c r="M324" s="4">
        <f t="shared" si="40"/>
        <v>460</v>
      </c>
      <c r="N324" s="4">
        <f t="shared" si="41"/>
        <v>800</v>
      </c>
      <c r="O324" s="4">
        <f t="shared" si="42"/>
        <v>340</v>
      </c>
      <c r="P324" s="5">
        <f t="shared" si="43"/>
        <v>0.42499999999999999</v>
      </c>
      <c r="Q324" s="3" t="str">
        <f t="shared" si="44"/>
        <v>Low_order</v>
      </c>
      <c r="R324" s="3" t="str">
        <f t="shared" si="45"/>
        <v>Young</v>
      </c>
      <c r="S324" s="11" t="str">
        <f t="shared" si="46"/>
        <v>High_profit</v>
      </c>
      <c r="T324" s="13" t="str">
        <f t="shared" si="47"/>
        <v>Mar</v>
      </c>
    </row>
    <row r="325" spans="1:20" x14ac:dyDescent="0.3">
      <c r="A325" s="9">
        <v>45523</v>
      </c>
      <c r="B325" s="3">
        <v>3324</v>
      </c>
      <c r="C325" s="3">
        <v>1001</v>
      </c>
      <c r="D325" s="3">
        <v>2024</v>
      </c>
      <c r="E325" s="3">
        <v>1</v>
      </c>
      <c r="F325" s="3">
        <f>VLOOKUP(Sheet1!$D325,Customers!$A$1:$D$51,2,TRUE)</f>
        <v>26</v>
      </c>
      <c r="G325" s="3" t="str">
        <f>VLOOKUP(Sheet1!$D325,Customers!$A$1:$D$51,3,TRUE)</f>
        <v>Female</v>
      </c>
      <c r="H325" s="3" t="str">
        <f>VLOOKUP(Sheet1!$D325,Customers!$A$1:$D$51,4,TRUE)</f>
        <v>Delhi</v>
      </c>
      <c r="I325" s="3" t="str">
        <f>VLOOKUP($C325,Products!$A$1:$E$21,2,TRUE)</f>
        <v>Headphones</v>
      </c>
      <c r="J325" s="3" t="str">
        <f>VLOOKUP($C325,Products!$A$1:$E$21,3,TRUE)</f>
        <v>Electronics</v>
      </c>
      <c r="K325" s="4">
        <f>VLOOKUP($C325,Products!$A$1:$E$21,4,TRUE)</f>
        <v>380</v>
      </c>
      <c r="L325" s="4">
        <f>VLOOKUP($C325,Products!$A$1:$E$21,5,TRUE)</f>
        <v>550</v>
      </c>
      <c r="M325" s="4">
        <f t="shared" si="40"/>
        <v>380</v>
      </c>
      <c r="N325" s="4">
        <f t="shared" si="41"/>
        <v>550</v>
      </c>
      <c r="O325" s="4">
        <f t="shared" si="42"/>
        <v>170</v>
      </c>
      <c r="P325" s="5">
        <f t="shared" si="43"/>
        <v>0.30909090909090908</v>
      </c>
      <c r="Q325" s="3" t="str">
        <f t="shared" si="44"/>
        <v>Low_order</v>
      </c>
      <c r="R325" s="3" t="str">
        <f t="shared" si="45"/>
        <v>Young</v>
      </c>
      <c r="S325" s="11" t="str">
        <f t="shared" si="46"/>
        <v>Low_profit</v>
      </c>
      <c r="T325" s="13" t="str">
        <f t="shared" si="47"/>
        <v>Aug</v>
      </c>
    </row>
    <row r="326" spans="1:20" x14ac:dyDescent="0.3">
      <c r="A326" s="9">
        <v>45426</v>
      </c>
      <c r="B326" s="3">
        <v>3325</v>
      </c>
      <c r="C326" s="3">
        <v>1012</v>
      </c>
      <c r="D326" s="3">
        <v>2041</v>
      </c>
      <c r="E326" s="3">
        <v>1</v>
      </c>
      <c r="F326" s="3">
        <f>VLOOKUP(Sheet1!$D326,Customers!$A$1:$D$51,2,TRUE)</f>
        <v>28</v>
      </c>
      <c r="G326" s="3" t="str">
        <f>VLOOKUP(Sheet1!$D326,Customers!$A$1:$D$51,3,TRUE)</f>
        <v>Male</v>
      </c>
      <c r="H326" s="3" t="str">
        <f>VLOOKUP(Sheet1!$D326,Customers!$A$1:$D$51,4,TRUE)</f>
        <v>Pune</v>
      </c>
      <c r="I326" s="3" t="str">
        <f>VLOOKUP($C326,Products!$A$1:$E$21,2,TRUE)</f>
        <v>Pen Set</v>
      </c>
      <c r="J326" s="3" t="str">
        <f>VLOOKUP($C326,Products!$A$1:$E$21,3,TRUE)</f>
        <v>Office</v>
      </c>
      <c r="K326" s="4">
        <f>VLOOKUP($C326,Products!$A$1:$E$21,4,TRUE)</f>
        <v>380</v>
      </c>
      <c r="L326" s="4">
        <f>VLOOKUP($C326,Products!$A$1:$E$21,5,TRUE)</f>
        <v>510</v>
      </c>
      <c r="M326" s="4">
        <f t="shared" si="40"/>
        <v>380</v>
      </c>
      <c r="N326" s="4">
        <f t="shared" si="41"/>
        <v>510</v>
      </c>
      <c r="O326" s="4">
        <f t="shared" si="42"/>
        <v>130</v>
      </c>
      <c r="P326" s="5">
        <f t="shared" si="43"/>
        <v>0.25490196078431371</v>
      </c>
      <c r="Q326" s="3" t="str">
        <f t="shared" si="44"/>
        <v>Low_order</v>
      </c>
      <c r="R326" s="3" t="str">
        <f t="shared" si="45"/>
        <v>Young</v>
      </c>
      <c r="S326" s="11" t="str">
        <f t="shared" si="46"/>
        <v>Low_profit</v>
      </c>
      <c r="T326" s="13" t="str">
        <f t="shared" si="47"/>
        <v>May</v>
      </c>
    </row>
    <row r="327" spans="1:20" x14ac:dyDescent="0.3">
      <c r="A327" s="9">
        <v>45629</v>
      </c>
      <c r="B327" s="3">
        <v>3326</v>
      </c>
      <c r="C327" s="3">
        <v>1007</v>
      </c>
      <c r="D327" s="3">
        <v>2020</v>
      </c>
      <c r="E327" s="3">
        <v>2</v>
      </c>
      <c r="F327" s="3">
        <f>VLOOKUP(Sheet1!$D327,Customers!$A$1:$D$51,2,TRUE)</f>
        <v>27</v>
      </c>
      <c r="G327" s="3" t="str">
        <f>VLOOKUP(Sheet1!$D327,Customers!$A$1:$D$51,3,TRUE)</f>
        <v>Male</v>
      </c>
      <c r="H327" s="3" t="str">
        <f>VLOOKUP(Sheet1!$D327,Customers!$A$1:$D$51,4,TRUE)</f>
        <v>Chandigarh</v>
      </c>
      <c r="I327" s="3" t="str">
        <f>VLOOKUP($C327,Products!$A$1:$E$21,2,TRUE)</f>
        <v>Charger</v>
      </c>
      <c r="J327" s="3" t="str">
        <f>VLOOKUP($C327,Products!$A$1:$E$21,3,TRUE)</f>
        <v>Accessories</v>
      </c>
      <c r="K327" s="4">
        <f>VLOOKUP($C327,Products!$A$1:$E$21,4,TRUE)</f>
        <v>160</v>
      </c>
      <c r="L327" s="4">
        <f>VLOOKUP($C327,Products!$A$1:$E$21,5,TRUE)</f>
        <v>230</v>
      </c>
      <c r="M327" s="4">
        <f t="shared" si="40"/>
        <v>320</v>
      </c>
      <c r="N327" s="4">
        <f t="shared" si="41"/>
        <v>460</v>
      </c>
      <c r="O327" s="4">
        <f t="shared" si="42"/>
        <v>140</v>
      </c>
      <c r="P327" s="5">
        <f t="shared" si="43"/>
        <v>0.30434782608695654</v>
      </c>
      <c r="Q327" s="3" t="str">
        <f t="shared" si="44"/>
        <v>Low_order</v>
      </c>
      <c r="R327" s="3" t="str">
        <f t="shared" si="45"/>
        <v>Young</v>
      </c>
      <c r="S327" s="11" t="str">
        <f t="shared" si="46"/>
        <v>Low_profit</v>
      </c>
      <c r="T327" s="13" t="str">
        <f t="shared" si="47"/>
        <v>Dec</v>
      </c>
    </row>
    <row r="328" spans="1:20" x14ac:dyDescent="0.3">
      <c r="A328" s="9">
        <v>45341</v>
      </c>
      <c r="B328" s="3">
        <v>3327</v>
      </c>
      <c r="C328" s="3">
        <v>1010</v>
      </c>
      <c r="D328" s="3">
        <v>2007</v>
      </c>
      <c r="E328" s="3">
        <v>2</v>
      </c>
      <c r="F328" s="3">
        <f>VLOOKUP(Sheet1!$D328,Customers!$A$1:$D$51,2,TRUE)</f>
        <v>34</v>
      </c>
      <c r="G328" s="3" t="str">
        <f>VLOOKUP(Sheet1!$D328,Customers!$A$1:$D$51,3,TRUE)</f>
        <v>Male</v>
      </c>
      <c r="H328" s="3" t="str">
        <f>VLOOKUP(Sheet1!$D328,Customers!$A$1:$D$51,4,TRUE)</f>
        <v>Bangalore</v>
      </c>
      <c r="I328" s="3" t="str">
        <f>VLOOKUP($C328,Products!$A$1:$E$21,2,TRUE)</f>
        <v>Laptop Sleeve</v>
      </c>
      <c r="J328" s="3" t="str">
        <f>VLOOKUP($C328,Products!$A$1:$E$21,3,TRUE)</f>
        <v>Accessories</v>
      </c>
      <c r="K328" s="4">
        <f>VLOOKUP($C328,Products!$A$1:$E$21,4,TRUE)</f>
        <v>290</v>
      </c>
      <c r="L328" s="4">
        <f>VLOOKUP($C328,Products!$A$1:$E$21,5,TRUE)</f>
        <v>470</v>
      </c>
      <c r="M328" s="4">
        <f t="shared" si="40"/>
        <v>580</v>
      </c>
      <c r="N328" s="4">
        <f t="shared" si="41"/>
        <v>940</v>
      </c>
      <c r="O328" s="4">
        <f t="shared" si="42"/>
        <v>360</v>
      </c>
      <c r="P328" s="5">
        <f t="shared" si="43"/>
        <v>0.38297872340425532</v>
      </c>
      <c r="Q328" s="3" t="str">
        <f t="shared" si="44"/>
        <v>Low_order</v>
      </c>
      <c r="R328" s="3" t="str">
        <f t="shared" si="45"/>
        <v>Middle_age</v>
      </c>
      <c r="S328" s="11" t="str">
        <f t="shared" si="46"/>
        <v>Medium_profit</v>
      </c>
      <c r="T328" s="13" t="str">
        <f t="shared" si="47"/>
        <v>Feb</v>
      </c>
    </row>
    <row r="329" spans="1:20" x14ac:dyDescent="0.3">
      <c r="A329" s="9">
        <v>45330</v>
      </c>
      <c r="B329" s="3">
        <v>3328</v>
      </c>
      <c r="C329" s="3">
        <v>1019</v>
      </c>
      <c r="D329" s="3">
        <v>2044</v>
      </c>
      <c r="E329" s="3">
        <v>3</v>
      </c>
      <c r="F329" s="3">
        <f>VLOOKUP(Sheet1!$D329,Customers!$A$1:$D$51,2,TRUE)</f>
        <v>44</v>
      </c>
      <c r="G329" s="3" t="str">
        <f>VLOOKUP(Sheet1!$D329,Customers!$A$1:$D$51,3,TRUE)</f>
        <v>Female</v>
      </c>
      <c r="H329" s="3" t="str">
        <f>VLOOKUP(Sheet1!$D329,Customers!$A$1:$D$51,4,TRUE)</f>
        <v>Mumbai</v>
      </c>
      <c r="I329" s="3" t="str">
        <f>VLOOKUP($C329,Products!$A$1:$E$21,2,TRUE)</f>
        <v>Skipping Rope</v>
      </c>
      <c r="J329" s="3" t="str">
        <f>VLOOKUP($C329,Products!$A$1:$E$21,3,TRUE)</f>
        <v>Fitness</v>
      </c>
      <c r="K329" s="4">
        <f>VLOOKUP($C329,Products!$A$1:$E$21,4,TRUE)</f>
        <v>140</v>
      </c>
      <c r="L329" s="4">
        <f>VLOOKUP($C329,Products!$A$1:$E$21,5,TRUE)</f>
        <v>270</v>
      </c>
      <c r="M329" s="4">
        <f t="shared" si="40"/>
        <v>420</v>
      </c>
      <c r="N329" s="4">
        <f t="shared" si="41"/>
        <v>810</v>
      </c>
      <c r="O329" s="4">
        <f t="shared" si="42"/>
        <v>390</v>
      </c>
      <c r="P329" s="5">
        <f t="shared" si="43"/>
        <v>0.48148148148148145</v>
      </c>
      <c r="Q329" s="3" t="str">
        <f t="shared" si="44"/>
        <v>Low_order</v>
      </c>
      <c r="R329" s="3" t="str">
        <f t="shared" si="45"/>
        <v>Senior</v>
      </c>
      <c r="S329" s="11" t="str">
        <f t="shared" si="46"/>
        <v>High_profit</v>
      </c>
      <c r="T329" s="13" t="str">
        <f t="shared" si="47"/>
        <v>Feb</v>
      </c>
    </row>
    <row r="330" spans="1:20" x14ac:dyDescent="0.3">
      <c r="A330" s="9">
        <v>45361</v>
      </c>
      <c r="B330" s="3">
        <v>3329</v>
      </c>
      <c r="C330" s="3">
        <v>1004</v>
      </c>
      <c r="D330" s="3">
        <v>2003</v>
      </c>
      <c r="E330" s="3">
        <v>8</v>
      </c>
      <c r="F330" s="3">
        <f>VLOOKUP(Sheet1!$D330,Customers!$A$1:$D$51,2,TRUE)</f>
        <v>23</v>
      </c>
      <c r="G330" s="3" t="str">
        <f>VLOOKUP(Sheet1!$D330,Customers!$A$1:$D$51,3,TRUE)</f>
        <v>Female</v>
      </c>
      <c r="H330" s="3" t="str">
        <f>VLOOKUP(Sheet1!$D330,Customers!$A$1:$D$51,4,TRUE)</f>
        <v>Bangalore</v>
      </c>
      <c r="I330" s="3" t="str">
        <f>VLOOKUP($C330,Products!$A$1:$E$21,2,TRUE)</f>
        <v>Speaker</v>
      </c>
      <c r="J330" s="3" t="str">
        <f>VLOOKUP($C330,Products!$A$1:$E$21,3,TRUE)</f>
        <v>Electronics</v>
      </c>
      <c r="K330" s="4">
        <f>VLOOKUP($C330,Products!$A$1:$E$21,4,TRUE)</f>
        <v>230</v>
      </c>
      <c r="L330" s="4">
        <f>VLOOKUP($C330,Products!$A$1:$E$21,5,TRUE)</f>
        <v>440</v>
      </c>
      <c r="M330" s="4">
        <f t="shared" si="40"/>
        <v>1840</v>
      </c>
      <c r="N330" s="4">
        <f t="shared" si="41"/>
        <v>3520</v>
      </c>
      <c r="O330" s="4">
        <f t="shared" si="42"/>
        <v>1680</v>
      </c>
      <c r="P330" s="5">
        <f t="shared" si="43"/>
        <v>0.47727272727272729</v>
      </c>
      <c r="Q330" s="3" t="str">
        <f t="shared" si="44"/>
        <v>High_order</v>
      </c>
      <c r="R330" s="3" t="str">
        <f t="shared" si="45"/>
        <v>Young</v>
      </c>
      <c r="S330" s="11" t="str">
        <f t="shared" si="46"/>
        <v>High_profit</v>
      </c>
      <c r="T330" s="13" t="str">
        <f t="shared" si="47"/>
        <v>Mar</v>
      </c>
    </row>
    <row r="331" spans="1:20" x14ac:dyDescent="0.3">
      <c r="A331" s="9">
        <v>45522</v>
      </c>
      <c r="B331" s="3">
        <v>3330</v>
      </c>
      <c r="C331" s="3">
        <v>1014</v>
      </c>
      <c r="D331" s="3">
        <v>2014</v>
      </c>
      <c r="E331" s="3">
        <v>4</v>
      </c>
      <c r="F331" s="3">
        <f>VLOOKUP(Sheet1!$D331,Customers!$A$1:$D$51,2,TRUE)</f>
        <v>58</v>
      </c>
      <c r="G331" s="3" t="str">
        <f>VLOOKUP(Sheet1!$D331,Customers!$A$1:$D$51,3,TRUE)</f>
        <v>Female</v>
      </c>
      <c r="H331" s="3" t="str">
        <f>VLOOKUP(Sheet1!$D331,Customers!$A$1:$D$51,4,TRUE)</f>
        <v>Chandigarh</v>
      </c>
      <c r="I331" s="3" t="str">
        <f>VLOOKUP($C331,Products!$A$1:$E$21,2,TRUE)</f>
        <v>Stapler</v>
      </c>
      <c r="J331" s="3" t="str">
        <f>VLOOKUP($C331,Products!$A$1:$E$21,3,TRUE)</f>
        <v>Office</v>
      </c>
      <c r="K331" s="4">
        <f>VLOOKUP($C331,Products!$A$1:$E$21,4,TRUE)</f>
        <v>170</v>
      </c>
      <c r="L331" s="4">
        <f>VLOOKUP($C331,Products!$A$1:$E$21,5,TRUE)</f>
        <v>280</v>
      </c>
      <c r="M331" s="4">
        <f t="shared" si="40"/>
        <v>680</v>
      </c>
      <c r="N331" s="4">
        <f t="shared" si="41"/>
        <v>1120</v>
      </c>
      <c r="O331" s="4">
        <f t="shared" si="42"/>
        <v>440</v>
      </c>
      <c r="P331" s="5">
        <f t="shared" si="43"/>
        <v>0.39285714285714285</v>
      </c>
      <c r="Q331" s="3" t="str">
        <f t="shared" si="44"/>
        <v>Low_order</v>
      </c>
      <c r="R331" s="3" t="str">
        <f t="shared" si="45"/>
        <v>Senior</v>
      </c>
      <c r="S331" s="11" t="str">
        <f t="shared" si="46"/>
        <v>Medium_profit</v>
      </c>
      <c r="T331" s="13" t="str">
        <f t="shared" si="47"/>
        <v>Aug</v>
      </c>
    </row>
    <row r="332" spans="1:20" x14ac:dyDescent="0.3">
      <c r="A332" s="9">
        <v>45589</v>
      </c>
      <c r="B332" s="3">
        <v>3331</v>
      </c>
      <c r="C332" s="3">
        <v>1009</v>
      </c>
      <c r="D332" s="3">
        <v>2034</v>
      </c>
      <c r="E332" s="3">
        <v>10</v>
      </c>
      <c r="F332" s="3">
        <f>VLOOKUP(Sheet1!$D332,Customers!$A$1:$D$51,2,TRUE)</f>
        <v>48</v>
      </c>
      <c r="G332" s="3" t="str">
        <f>VLOOKUP(Sheet1!$D332,Customers!$A$1:$D$51,3,TRUE)</f>
        <v>Female</v>
      </c>
      <c r="H332" s="3" t="str">
        <f>VLOOKUP(Sheet1!$D332,Customers!$A$1:$D$51,4,TRUE)</f>
        <v>Pune</v>
      </c>
      <c r="I332" s="3" t="str">
        <f>VLOOKUP($C332,Products!$A$1:$E$21,2,TRUE)</f>
        <v>Power Bank</v>
      </c>
      <c r="J332" s="3" t="str">
        <f>VLOOKUP($C332,Products!$A$1:$E$21,3,TRUE)</f>
        <v>Accessories</v>
      </c>
      <c r="K332" s="4">
        <f>VLOOKUP($C332,Products!$A$1:$E$21,4,TRUE)</f>
        <v>50</v>
      </c>
      <c r="L332" s="4">
        <f>VLOOKUP($C332,Products!$A$1:$E$21,5,TRUE)</f>
        <v>220</v>
      </c>
      <c r="M332" s="4">
        <f t="shared" si="40"/>
        <v>500</v>
      </c>
      <c r="N332" s="4">
        <f t="shared" si="41"/>
        <v>2200</v>
      </c>
      <c r="O332" s="4">
        <f t="shared" si="42"/>
        <v>1700</v>
      </c>
      <c r="P332" s="5">
        <f t="shared" si="43"/>
        <v>0.77272727272727271</v>
      </c>
      <c r="Q332" s="3" t="str">
        <f t="shared" si="44"/>
        <v>Medium_order</v>
      </c>
      <c r="R332" s="3" t="str">
        <f t="shared" si="45"/>
        <v>Senior</v>
      </c>
      <c r="S332" s="11" t="str">
        <f t="shared" si="46"/>
        <v>High_profit</v>
      </c>
      <c r="T332" s="13" t="str">
        <f t="shared" si="47"/>
        <v>Oct</v>
      </c>
    </row>
    <row r="333" spans="1:20" x14ac:dyDescent="0.3">
      <c r="A333" s="9">
        <v>45598</v>
      </c>
      <c r="B333" s="3">
        <v>3332</v>
      </c>
      <c r="C333" s="3">
        <v>1005</v>
      </c>
      <c r="D333" s="3">
        <v>2022</v>
      </c>
      <c r="E333" s="3">
        <v>3</v>
      </c>
      <c r="F333" s="3">
        <f>VLOOKUP(Sheet1!$D333,Customers!$A$1:$D$51,2,TRUE)</f>
        <v>19</v>
      </c>
      <c r="G333" s="3" t="str">
        <f>VLOOKUP(Sheet1!$D333,Customers!$A$1:$D$51,3,TRUE)</f>
        <v>Male</v>
      </c>
      <c r="H333" s="3" t="str">
        <f>VLOOKUP(Sheet1!$D333,Customers!$A$1:$D$51,4,TRUE)</f>
        <v>Pune</v>
      </c>
      <c r="I333" s="3" t="str">
        <f>VLOOKUP($C333,Products!$A$1:$E$21,2,TRUE)</f>
        <v>Webcam</v>
      </c>
      <c r="J333" s="3" t="str">
        <f>VLOOKUP($C333,Products!$A$1:$E$21,3,TRUE)</f>
        <v>Electronics</v>
      </c>
      <c r="K333" s="4">
        <f>VLOOKUP($C333,Products!$A$1:$E$21,4,TRUE)</f>
        <v>340</v>
      </c>
      <c r="L333" s="4">
        <f>VLOOKUP($C333,Products!$A$1:$E$21,5,TRUE)</f>
        <v>520</v>
      </c>
      <c r="M333" s="4">
        <f t="shared" si="40"/>
        <v>1020</v>
      </c>
      <c r="N333" s="4">
        <f t="shared" si="41"/>
        <v>1560</v>
      </c>
      <c r="O333" s="4">
        <f t="shared" si="42"/>
        <v>540</v>
      </c>
      <c r="P333" s="5">
        <f t="shared" si="43"/>
        <v>0.34615384615384615</v>
      </c>
      <c r="Q333" s="3" t="str">
        <f t="shared" si="44"/>
        <v>Medium_order</v>
      </c>
      <c r="R333" s="3" t="str">
        <f t="shared" si="45"/>
        <v>Young</v>
      </c>
      <c r="S333" s="11" t="str">
        <f t="shared" si="46"/>
        <v>Medium_profit</v>
      </c>
      <c r="T333" s="13" t="str">
        <f t="shared" si="47"/>
        <v>Nov</v>
      </c>
    </row>
    <row r="334" spans="1:20" x14ac:dyDescent="0.3">
      <c r="A334" s="9">
        <v>45365</v>
      </c>
      <c r="B334" s="3">
        <v>3333</v>
      </c>
      <c r="C334" s="3">
        <v>1010</v>
      </c>
      <c r="D334" s="3">
        <v>2028</v>
      </c>
      <c r="E334" s="3">
        <v>2</v>
      </c>
      <c r="F334" s="3">
        <f>VLOOKUP(Sheet1!$D334,Customers!$A$1:$D$51,2,TRUE)</f>
        <v>43</v>
      </c>
      <c r="G334" s="3" t="str">
        <f>VLOOKUP(Sheet1!$D334,Customers!$A$1:$D$51,3,TRUE)</f>
        <v>Male</v>
      </c>
      <c r="H334" s="3" t="str">
        <f>VLOOKUP(Sheet1!$D334,Customers!$A$1:$D$51,4,TRUE)</f>
        <v>Mumbai</v>
      </c>
      <c r="I334" s="3" t="str">
        <f>VLOOKUP($C334,Products!$A$1:$E$21,2,TRUE)</f>
        <v>Laptop Sleeve</v>
      </c>
      <c r="J334" s="3" t="str">
        <f>VLOOKUP($C334,Products!$A$1:$E$21,3,TRUE)</f>
        <v>Accessories</v>
      </c>
      <c r="K334" s="4">
        <f>VLOOKUP($C334,Products!$A$1:$E$21,4,TRUE)</f>
        <v>290</v>
      </c>
      <c r="L334" s="4">
        <f>VLOOKUP($C334,Products!$A$1:$E$21,5,TRUE)</f>
        <v>470</v>
      </c>
      <c r="M334" s="4">
        <f t="shared" si="40"/>
        <v>580</v>
      </c>
      <c r="N334" s="4">
        <f t="shared" si="41"/>
        <v>940</v>
      </c>
      <c r="O334" s="4">
        <f t="shared" si="42"/>
        <v>360</v>
      </c>
      <c r="P334" s="5">
        <f t="shared" si="43"/>
        <v>0.38297872340425532</v>
      </c>
      <c r="Q334" s="3" t="str">
        <f t="shared" si="44"/>
        <v>Low_order</v>
      </c>
      <c r="R334" s="3" t="str">
        <f t="shared" si="45"/>
        <v>Senior</v>
      </c>
      <c r="S334" s="11" t="str">
        <f t="shared" si="46"/>
        <v>Medium_profit</v>
      </c>
      <c r="T334" s="13" t="str">
        <f t="shared" si="47"/>
        <v>Mar</v>
      </c>
    </row>
    <row r="335" spans="1:20" x14ac:dyDescent="0.3">
      <c r="A335" s="9">
        <v>45451</v>
      </c>
      <c r="B335" s="3">
        <v>3334</v>
      </c>
      <c r="C335" s="3">
        <v>1018</v>
      </c>
      <c r="D335" s="3">
        <v>2005</v>
      </c>
      <c r="E335" s="3">
        <v>3</v>
      </c>
      <c r="F335" s="3">
        <f>VLOOKUP(Sheet1!$D335,Customers!$A$1:$D$51,2,TRUE)</f>
        <v>56</v>
      </c>
      <c r="G335" s="3" t="str">
        <f>VLOOKUP(Sheet1!$D335,Customers!$A$1:$D$51,3,TRUE)</f>
        <v>Female</v>
      </c>
      <c r="H335" s="3" t="str">
        <f>VLOOKUP(Sheet1!$D335,Customers!$A$1:$D$51,4,TRUE)</f>
        <v>Hyderabad</v>
      </c>
      <c r="I335" s="3" t="str">
        <f>VLOOKUP($C335,Products!$A$1:$E$21,2,TRUE)</f>
        <v>Resistance Band</v>
      </c>
      <c r="J335" s="3" t="str">
        <f>VLOOKUP($C335,Products!$A$1:$E$21,3,TRUE)</f>
        <v>Fitness</v>
      </c>
      <c r="K335" s="4">
        <f>VLOOKUP($C335,Products!$A$1:$E$21,4,TRUE)</f>
        <v>310</v>
      </c>
      <c r="L335" s="4">
        <f>VLOOKUP($C335,Products!$A$1:$E$21,5,TRUE)</f>
        <v>480</v>
      </c>
      <c r="M335" s="4">
        <f t="shared" si="40"/>
        <v>930</v>
      </c>
      <c r="N335" s="4">
        <f t="shared" si="41"/>
        <v>1440</v>
      </c>
      <c r="O335" s="4">
        <f t="shared" si="42"/>
        <v>510</v>
      </c>
      <c r="P335" s="5">
        <f t="shared" si="43"/>
        <v>0.35416666666666669</v>
      </c>
      <c r="Q335" s="3" t="str">
        <f t="shared" si="44"/>
        <v>Medium_order</v>
      </c>
      <c r="R335" s="3" t="str">
        <f t="shared" si="45"/>
        <v>Senior</v>
      </c>
      <c r="S335" s="11" t="str">
        <f t="shared" si="46"/>
        <v>Medium_profit</v>
      </c>
      <c r="T335" s="13" t="str">
        <f t="shared" si="47"/>
        <v>Jun</v>
      </c>
    </row>
    <row r="336" spans="1:20" x14ac:dyDescent="0.3">
      <c r="A336" s="9">
        <v>45617</v>
      </c>
      <c r="B336" s="3">
        <v>3335</v>
      </c>
      <c r="C336" s="3">
        <v>1016</v>
      </c>
      <c r="D336" s="3">
        <v>2032</v>
      </c>
      <c r="E336" s="3">
        <v>4</v>
      </c>
      <c r="F336" s="3">
        <f>VLOOKUP(Sheet1!$D336,Customers!$A$1:$D$51,2,TRUE)</f>
        <v>42</v>
      </c>
      <c r="G336" s="3" t="str">
        <f>VLOOKUP(Sheet1!$D336,Customers!$A$1:$D$51,3,TRUE)</f>
        <v>Male</v>
      </c>
      <c r="H336" s="3" t="str">
        <f>VLOOKUP(Sheet1!$D336,Customers!$A$1:$D$51,4,TRUE)</f>
        <v>Hyderabad</v>
      </c>
      <c r="I336" s="3" t="str">
        <f>VLOOKUP($C336,Products!$A$1:$E$21,2,TRUE)</f>
        <v>Yoga Mat</v>
      </c>
      <c r="J336" s="3" t="str">
        <f>VLOOKUP($C336,Products!$A$1:$E$21,3,TRUE)</f>
        <v>Fitness</v>
      </c>
      <c r="K336" s="4">
        <f>VLOOKUP($C336,Products!$A$1:$E$21,4,TRUE)</f>
        <v>330</v>
      </c>
      <c r="L336" s="4">
        <f>VLOOKUP($C336,Products!$A$1:$E$21,5,TRUE)</f>
        <v>490</v>
      </c>
      <c r="M336" s="4">
        <f t="shared" si="40"/>
        <v>1320</v>
      </c>
      <c r="N336" s="4">
        <f t="shared" si="41"/>
        <v>1960</v>
      </c>
      <c r="O336" s="4">
        <f t="shared" si="42"/>
        <v>640</v>
      </c>
      <c r="P336" s="5">
        <f t="shared" si="43"/>
        <v>0.32653061224489793</v>
      </c>
      <c r="Q336" s="3" t="str">
        <f t="shared" si="44"/>
        <v>Medium_order</v>
      </c>
      <c r="R336" s="3" t="str">
        <f t="shared" si="45"/>
        <v>Senior</v>
      </c>
      <c r="S336" s="11" t="str">
        <f t="shared" si="46"/>
        <v>Medium_profit</v>
      </c>
      <c r="T336" s="13" t="str">
        <f t="shared" si="47"/>
        <v>Nov</v>
      </c>
    </row>
    <row r="337" spans="1:20" x14ac:dyDescent="0.3">
      <c r="A337" s="9">
        <v>45641</v>
      </c>
      <c r="B337" s="3">
        <v>3336</v>
      </c>
      <c r="C337" s="3">
        <v>1002</v>
      </c>
      <c r="D337" s="3">
        <v>2003</v>
      </c>
      <c r="E337" s="3">
        <v>3</v>
      </c>
      <c r="F337" s="3">
        <f>VLOOKUP(Sheet1!$D337,Customers!$A$1:$D$51,2,TRUE)</f>
        <v>23</v>
      </c>
      <c r="G337" s="3" t="str">
        <f>VLOOKUP(Sheet1!$D337,Customers!$A$1:$D$51,3,TRUE)</f>
        <v>Female</v>
      </c>
      <c r="H337" s="3" t="str">
        <f>VLOOKUP(Sheet1!$D337,Customers!$A$1:$D$51,4,TRUE)</f>
        <v>Bangalore</v>
      </c>
      <c r="I337" s="3" t="str">
        <f>VLOOKUP($C337,Products!$A$1:$E$21,2,TRUE)</f>
        <v>Keyboard</v>
      </c>
      <c r="J337" s="3" t="str">
        <f>VLOOKUP($C337,Products!$A$1:$E$21,3,TRUE)</f>
        <v>Electronics</v>
      </c>
      <c r="K337" s="4">
        <f>VLOOKUP($C337,Products!$A$1:$E$21,4,TRUE)</f>
        <v>230</v>
      </c>
      <c r="L337" s="4">
        <f>VLOOKUP($C337,Products!$A$1:$E$21,5,TRUE)</f>
        <v>400</v>
      </c>
      <c r="M337" s="4">
        <f t="shared" si="40"/>
        <v>690</v>
      </c>
      <c r="N337" s="4">
        <f t="shared" si="41"/>
        <v>1200</v>
      </c>
      <c r="O337" s="4">
        <f t="shared" si="42"/>
        <v>510</v>
      </c>
      <c r="P337" s="5">
        <f t="shared" si="43"/>
        <v>0.42499999999999999</v>
      </c>
      <c r="Q337" s="3" t="str">
        <f t="shared" si="44"/>
        <v>Low_order</v>
      </c>
      <c r="R337" s="3" t="str">
        <f t="shared" si="45"/>
        <v>Young</v>
      </c>
      <c r="S337" s="11" t="str">
        <f t="shared" si="46"/>
        <v>High_profit</v>
      </c>
      <c r="T337" s="13" t="str">
        <f t="shared" si="47"/>
        <v>Dec</v>
      </c>
    </row>
    <row r="338" spans="1:20" x14ac:dyDescent="0.3">
      <c r="A338" s="9">
        <v>45629</v>
      </c>
      <c r="B338" s="3">
        <v>3337</v>
      </c>
      <c r="C338" s="3">
        <v>1001</v>
      </c>
      <c r="D338" s="3">
        <v>2013</v>
      </c>
      <c r="E338" s="3">
        <v>1</v>
      </c>
      <c r="F338" s="3">
        <f>VLOOKUP(Sheet1!$D338,Customers!$A$1:$D$51,2,TRUE)</f>
        <v>37</v>
      </c>
      <c r="G338" s="3" t="str">
        <f>VLOOKUP(Sheet1!$D338,Customers!$A$1:$D$51,3,TRUE)</f>
        <v>Male</v>
      </c>
      <c r="H338" s="3" t="str">
        <f>VLOOKUP(Sheet1!$D338,Customers!$A$1:$D$51,4,TRUE)</f>
        <v>Hyderabad</v>
      </c>
      <c r="I338" s="3" t="str">
        <f>VLOOKUP($C338,Products!$A$1:$E$21,2,TRUE)</f>
        <v>Headphones</v>
      </c>
      <c r="J338" s="3" t="str">
        <f>VLOOKUP($C338,Products!$A$1:$E$21,3,TRUE)</f>
        <v>Electronics</v>
      </c>
      <c r="K338" s="4">
        <f>VLOOKUP($C338,Products!$A$1:$E$21,4,TRUE)</f>
        <v>380</v>
      </c>
      <c r="L338" s="4">
        <f>VLOOKUP($C338,Products!$A$1:$E$21,5,TRUE)</f>
        <v>550</v>
      </c>
      <c r="M338" s="4">
        <f t="shared" si="40"/>
        <v>380</v>
      </c>
      <c r="N338" s="4">
        <f t="shared" si="41"/>
        <v>550</v>
      </c>
      <c r="O338" s="4">
        <f t="shared" si="42"/>
        <v>170</v>
      </c>
      <c r="P338" s="5">
        <f t="shared" si="43"/>
        <v>0.30909090909090908</v>
      </c>
      <c r="Q338" s="3" t="str">
        <f t="shared" si="44"/>
        <v>Low_order</v>
      </c>
      <c r="R338" s="3" t="str">
        <f t="shared" si="45"/>
        <v>Middle_age</v>
      </c>
      <c r="S338" s="11" t="str">
        <f t="shared" si="46"/>
        <v>Low_profit</v>
      </c>
      <c r="T338" s="13" t="str">
        <f t="shared" si="47"/>
        <v>Dec</v>
      </c>
    </row>
    <row r="339" spans="1:20" x14ac:dyDescent="0.3">
      <c r="A339" s="9">
        <v>45631</v>
      </c>
      <c r="B339" s="3">
        <v>3338</v>
      </c>
      <c r="C339" s="3">
        <v>1016</v>
      </c>
      <c r="D339" s="3">
        <v>2023</v>
      </c>
      <c r="E339" s="3">
        <v>10</v>
      </c>
      <c r="F339" s="3">
        <f>VLOOKUP(Sheet1!$D339,Customers!$A$1:$D$51,2,TRUE)</f>
        <v>41</v>
      </c>
      <c r="G339" s="3" t="str">
        <f>VLOOKUP(Sheet1!$D339,Customers!$A$1:$D$51,3,TRUE)</f>
        <v>Male</v>
      </c>
      <c r="H339" s="3" t="str">
        <f>VLOOKUP(Sheet1!$D339,Customers!$A$1:$D$51,4,TRUE)</f>
        <v>Delhi</v>
      </c>
      <c r="I339" s="3" t="str">
        <f>VLOOKUP($C339,Products!$A$1:$E$21,2,TRUE)</f>
        <v>Yoga Mat</v>
      </c>
      <c r="J339" s="3" t="str">
        <f>VLOOKUP($C339,Products!$A$1:$E$21,3,TRUE)</f>
        <v>Fitness</v>
      </c>
      <c r="K339" s="4">
        <f>VLOOKUP($C339,Products!$A$1:$E$21,4,TRUE)</f>
        <v>330</v>
      </c>
      <c r="L339" s="4">
        <f>VLOOKUP($C339,Products!$A$1:$E$21,5,TRUE)</f>
        <v>490</v>
      </c>
      <c r="M339" s="4">
        <f t="shared" si="40"/>
        <v>3300</v>
      </c>
      <c r="N339" s="4">
        <f t="shared" si="41"/>
        <v>4900</v>
      </c>
      <c r="O339" s="4">
        <f t="shared" si="42"/>
        <v>1600</v>
      </c>
      <c r="P339" s="5">
        <f t="shared" si="43"/>
        <v>0.32653061224489793</v>
      </c>
      <c r="Q339" s="3" t="str">
        <f t="shared" si="44"/>
        <v>High_order</v>
      </c>
      <c r="R339" s="3" t="str">
        <f t="shared" si="45"/>
        <v>Senior</v>
      </c>
      <c r="S339" s="11" t="str">
        <f t="shared" si="46"/>
        <v>Medium_profit</v>
      </c>
      <c r="T339" s="13" t="str">
        <f t="shared" si="47"/>
        <v>Dec</v>
      </c>
    </row>
    <row r="340" spans="1:20" x14ac:dyDescent="0.3">
      <c r="A340" s="9">
        <v>45392</v>
      </c>
      <c r="B340" s="3">
        <v>3339</v>
      </c>
      <c r="C340" s="3">
        <v>1012</v>
      </c>
      <c r="D340" s="3">
        <v>2021</v>
      </c>
      <c r="E340" s="3">
        <v>5</v>
      </c>
      <c r="F340" s="3">
        <f>VLOOKUP(Sheet1!$D340,Customers!$A$1:$D$51,2,TRUE)</f>
        <v>28</v>
      </c>
      <c r="G340" s="3" t="str">
        <f>VLOOKUP(Sheet1!$D340,Customers!$A$1:$D$51,3,TRUE)</f>
        <v>Male</v>
      </c>
      <c r="H340" s="3" t="str">
        <f>VLOOKUP(Sheet1!$D340,Customers!$A$1:$D$51,4,TRUE)</f>
        <v>Delhi</v>
      </c>
      <c r="I340" s="3" t="str">
        <f>VLOOKUP($C340,Products!$A$1:$E$21,2,TRUE)</f>
        <v>Pen Set</v>
      </c>
      <c r="J340" s="3" t="str">
        <f>VLOOKUP($C340,Products!$A$1:$E$21,3,TRUE)</f>
        <v>Office</v>
      </c>
      <c r="K340" s="4">
        <f>VLOOKUP($C340,Products!$A$1:$E$21,4,TRUE)</f>
        <v>380</v>
      </c>
      <c r="L340" s="4">
        <f>VLOOKUP($C340,Products!$A$1:$E$21,5,TRUE)</f>
        <v>510</v>
      </c>
      <c r="M340" s="4">
        <f t="shared" si="40"/>
        <v>1900</v>
      </c>
      <c r="N340" s="4">
        <f t="shared" si="41"/>
        <v>2550</v>
      </c>
      <c r="O340" s="4">
        <f t="shared" si="42"/>
        <v>650</v>
      </c>
      <c r="P340" s="5">
        <f t="shared" si="43"/>
        <v>0.25490196078431371</v>
      </c>
      <c r="Q340" s="3" t="str">
        <f t="shared" si="44"/>
        <v>High_order</v>
      </c>
      <c r="R340" s="3" t="str">
        <f t="shared" si="45"/>
        <v>Young</v>
      </c>
      <c r="S340" s="11" t="str">
        <f t="shared" si="46"/>
        <v>Low_profit</v>
      </c>
      <c r="T340" s="13" t="str">
        <f t="shared" si="47"/>
        <v>Apr</v>
      </c>
    </row>
    <row r="341" spans="1:20" x14ac:dyDescent="0.3">
      <c r="A341" s="9">
        <v>45449</v>
      </c>
      <c r="B341" s="3">
        <v>3340</v>
      </c>
      <c r="C341" s="3">
        <v>1005</v>
      </c>
      <c r="D341" s="3">
        <v>2025</v>
      </c>
      <c r="E341" s="3">
        <v>2</v>
      </c>
      <c r="F341" s="3">
        <f>VLOOKUP(Sheet1!$D341,Customers!$A$1:$D$51,2,TRUE)</f>
        <v>34</v>
      </c>
      <c r="G341" s="3" t="str">
        <f>VLOOKUP(Sheet1!$D341,Customers!$A$1:$D$51,3,TRUE)</f>
        <v>Male</v>
      </c>
      <c r="H341" s="3" t="str">
        <f>VLOOKUP(Sheet1!$D341,Customers!$A$1:$D$51,4,TRUE)</f>
        <v>Delhi</v>
      </c>
      <c r="I341" s="3" t="str">
        <f>VLOOKUP($C341,Products!$A$1:$E$21,2,TRUE)</f>
        <v>Webcam</v>
      </c>
      <c r="J341" s="3" t="str">
        <f>VLOOKUP($C341,Products!$A$1:$E$21,3,TRUE)</f>
        <v>Electronics</v>
      </c>
      <c r="K341" s="4">
        <f>VLOOKUP($C341,Products!$A$1:$E$21,4,TRUE)</f>
        <v>340</v>
      </c>
      <c r="L341" s="4">
        <f>VLOOKUP($C341,Products!$A$1:$E$21,5,TRUE)</f>
        <v>520</v>
      </c>
      <c r="M341" s="4">
        <f t="shared" si="40"/>
        <v>680</v>
      </c>
      <c r="N341" s="4">
        <f t="shared" si="41"/>
        <v>1040</v>
      </c>
      <c r="O341" s="4">
        <f t="shared" si="42"/>
        <v>360</v>
      </c>
      <c r="P341" s="5">
        <f t="shared" si="43"/>
        <v>0.34615384615384615</v>
      </c>
      <c r="Q341" s="3" t="str">
        <f t="shared" si="44"/>
        <v>Low_order</v>
      </c>
      <c r="R341" s="3" t="str">
        <f t="shared" si="45"/>
        <v>Middle_age</v>
      </c>
      <c r="S341" s="11" t="str">
        <f t="shared" si="46"/>
        <v>Medium_profit</v>
      </c>
      <c r="T341" s="13" t="str">
        <f t="shared" si="47"/>
        <v>Jun</v>
      </c>
    </row>
    <row r="342" spans="1:20" x14ac:dyDescent="0.3">
      <c r="A342" s="9">
        <v>45292</v>
      </c>
      <c r="B342" s="3">
        <v>3341</v>
      </c>
      <c r="C342" s="3">
        <v>1017</v>
      </c>
      <c r="D342" s="3">
        <v>2028</v>
      </c>
      <c r="E342" s="3">
        <v>8</v>
      </c>
      <c r="F342" s="3">
        <f>VLOOKUP(Sheet1!$D342,Customers!$A$1:$D$51,2,TRUE)</f>
        <v>43</v>
      </c>
      <c r="G342" s="3" t="str">
        <f>VLOOKUP(Sheet1!$D342,Customers!$A$1:$D$51,3,TRUE)</f>
        <v>Male</v>
      </c>
      <c r="H342" s="3" t="str">
        <f>VLOOKUP(Sheet1!$D342,Customers!$A$1:$D$51,4,TRUE)</f>
        <v>Mumbai</v>
      </c>
      <c r="I342" s="3" t="str">
        <f>VLOOKUP($C342,Products!$A$1:$E$21,2,TRUE)</f>
        <v>Dumbbells</v>
      </c>
      <c r="J342" s="3" t="str">
        <f>VLOOKUP($C342,Products!$A$1:$E$21,3,TRUE)</f>
        <v>Fitness</v>
      </c>
      <c r="K342" s="4">
        <f>VLOOKUP($C342,Products!$A$1:$E$21,4,TRUE)</f>
        <v>120</v>
      </c>
      <c r="L342" s="4">
        <f>VLOOKUP($C342,Products!$A$1:$E$21,5,TRUE)</f>
        <v>200</v>
      </c>
      <c r="M342" s="4">
        <f t="shared" si="40"/>
        <v>960</v>
      </c>
      <c r="N342" s="4">
        <f t="shared" si="41"/>
        <v>1600</v>
      </c>
      <c r="O342" s="4">
        <f t="shared" si="42"/>
        <v>640</v>
      </c>
      <c r="P342" s="5">
        <f t="shared" si="43"/>
        <v>0.4</v>
      </c>
      <c r="Q342" s="3" t="str">
        <f t="shared" si="44"/>
        <v>Medium_order</v>
      </c>
      <c r="R342" s="3" t="str">
        <f t="shared" si="45"/>
        <v>Senior</v>
      </c>
      <c r="S342" s="11" t="str">
        <f t="shared" si="46"/>
        <v>Medium_profit</v>
      </c>
      <c r="T342" s="13" t="str">
        <f t="shared" si="47"/>
        <v>Jan</v>
      </c>
    </row>
    <row r="343" spans="1:20" x14ac:dyDescent="0.3">
      <c r="A343" s="9">
        <v>45603</v>
      </c>
      <c r="B343" s="3">
        <v>3342</v>
      </c>
      <c r="C343" s="3">
        <v>1003</v>
      </c>
      <c r="D343" s="3">
        <v>2015</v>
      </c>
      <c r="E343" s="3">
        <v>2</v>
      </c>
      <c r="F343" s="3">
        <f>VLOOKUP(Sheet1!$D343,Customers!$A$1:$D$51,2,TRUE)</f>
        <v>40</v>
      </c>
      <c r="G343" s="3" t="str">
        <f>VLOOKUP(Sheet1!$D343,Customers!$A$1:$D$51,3,TRUE)</f>
        <v>Male</v>
      </c>
      <c r="H343" s="3" t="str">
        <f>VLOOKUP(Sheet1!$D343,Customers!$A$1:$D$51,4,TRUE)</f>
        <v>Delhi</v>
      </c>
      <c r="I343" s="3" t="str">
        <f>VLOOKUP($C343,Products!$A$1:$E$21,2,TRUE)</f>
        <v>Mouse</v>
      </c>
      <c r="J343" s="3" t="str">
        <f>VLOOKUP($C343,Products!$A$1:$E$21,3,TRUE)</f>
        <v>Electronics</v>
      </c>
      <c r="K343" s="4">
        <f>VLOOKUP($C343,Products!$A$1:$E$21,4,TRUE)</f>
        <v>140</v>
      </c>
      <c r="L343" s="4">
        <f>VLOOKUP($C343,Products!$A$1:$E$21,5,TRUE)</f>
        <v>350</v>
      </c>
      <c r="M343" s="4">
        <f t="shared" si="40"/>
        <v>280</v>
      </c>
      <c r="N343" s="4">
        <f t="shared" si="41"/>
        <v>700</v>
      </c>
      <c r="O343" s="4">
        <f t="shared" si="42"/>
        <v>420</v>
      </c>
      <c r="P343" s="5">
        <f t="shared" si="43"/>
        <v>0.6</v>
      </c>
      <c r="Q343" s="3" t="str">
        <f t="shared" si="44"/>
        <v>Low_order</v>
      </c>
      <c r="R343" s="3" t="str">
        <f t="shared" si="45"/>
        <v>Middle_age</v>
      </c>
      <c r="S343" s="11" t="str">
        <f t="shared" si="46"/>
        <v>High_profit</v>
      </c>
      <c r="T343" s="13" t="str">
        <f t="shared" si="47"/>
        <v>Nov</v>
      </c>
    </row>
    <row r="344" spans="1:20" x14ac:dyDescent="0.3">
      <c r="A344" s="9">
        <v>45520</v>
      </c>
      <c r="B344" s="3">
        <v>3343</v>
      </c>
      <c r="C344" s="3">
        <v>1020</v>
      </c>
      <c r="D344" s="3">
        <v>2029</v>
      </c>
      <c r="E344" s="3">
        <v>2</v>
      </c>
      <c r="F344" s="3">
        <f>VLOOKUP(Sheet1!$D344,Customers!$A$1:$D$51,2,TRUE)</f>
        <v>53</v>
      </c>
      <c r="G344" s="3" t="str">
        <f>VLOOKUP(Sheet1!$D344,Customers!$A$1:$D$51,3,TRUE)</f>
        <v>Male</v>
      </c>
      <c r="H344" s="3" t="str">
        <f>VLOOKUP(Sheet1!$D344,Customers!$A$1:$D$51,4,TRUE)</f>
        <v>Delhi</v>
      </c>
      <c r="I344" s="3" t="str">
        <f>VLOOKUP($C344,Products!$A$1:$E$21,2,TRUE)</f>
        <v>Water Bottle</v>
      </c>
      <c r="J344" s="3" t="str">
        <f>VLOOKUP($C344,Products!$A$1:$E$21,3,TRUE)</f>
        <v>Fitness</v>
      </c>
      <c r="K344" s="4">
        <f>VLOOKUP($C344,Products!$A$1:$E$21,4,TRUE)</f>
        <v>400</v>
      </c>
      <c r="L344" s="4">
        <f>VLOOKUP($C344,Products!$A$1:$E$21,5,TRUE)</f>
        <v>560</v>
      </c>
      <c r="M344" s="4">
        <f t="shared" si="40"/>
        <v>800</v>
      </c>
      <c r="N344" s="4">
        <f t="shared" si="41"/>
        <v>1120</v>
      </c>
      <c r="O344" s="4">
        <f t="shared" si="42"/>
        <v>320</v>
      </c>
      <c r="P344" s="5">
        <f t="shared" si="43"/>
        <v>0.2857142857142857</v>
      </c>
      <c r="Q344" s="3" t="str">
        <f t="shared" si="44"/>
        <v>Low_order</v>
      </c>
      <c r="R344" s="3" t="str">
        <f t="shared" si="45"/>
        <v>Senior</v>
      </c>
      <c r="S344" s="11" t="str">
        <f t="shared" si="46"/>
        <v>Low_profit</v>
      </c>
      <c r="T344" s="13" t="str">
        <f t="shared" si="47"/>
        <v>Aug</v>
      </c>
    </row>
    <row r="345" spans="1:20" x14ac:dyDescent="0.3">
      <c r="A345" s="9">
        <v>45363</v>
      </c>
      <c r="B345" s="3">
        <v>3344</v>
      </c>
      <c r="C345" s="3">
        <v>1013</v>
      </c>
      <c r="D345" s="3">
        <v>2044</v>
      </c>
      <c r="E345" s="3">
        <v>5</v>
      </c>
      <c r="F345" s="3">
        <f>VLOOKUP(Sheet1!$D345,Customers!$A$1:$D$51,2,TRUE)</f>
        <v>44</v>
      </c>
      <c r="G345" s="3" t="str">
        <f>VLOOKUP(Sheet1!$D345,Customers!$A$1:$D$51,3,TRUE)</f>
        <v>Female</v>
      </c>
      <c r="H345" s="3" t="str">
        <f>VLOOKUP(Sheet1!$D345,Customers!$A$1:$D$51,4,TRUE)</f>
        <v>Mumbai</v>
      </c>
      <c r="I345" s="3" t="str">
        <f>VLOOKUP($C345,Products!$A$1:$E$21,2,TRUE)</f>
        <v>Desk Lamp</v>
      </c>
      <c r="J345" s="3" t="str">
        <f>VLOOKUP($C345,Products!$A$1:$E$21,3,TRUE)</f>
        <v>Office</v>
      </c>
      <c r="K345" s="4">
        <f>VLOOKUP($C345,Products!$A$1:$E$21,4,TRUE)</f>
        <v>140</v>
      </c>
      <c r="L345" s="4">
        <f>VLOOKUP($C345,Products!$A$1:$E$21,5,TRUE)</f>
        <v>390</v>
      </c>
      <c r="M345" s="4">
        <f t="shared" si="40"/>
        <v>700</v>
      </c>
      <c r="N345" s="4">
        <f t="shared" si="41"/>
        <v>1950</v>
      </c>
      <c r="O345" s="4">
        <f t="shared" si="42"/>
        <v>1250</v>
      </c>
      <c r="P345" s="5">
        <f t="shared" si="43"/>
        <v>0.64102564102564108</v>
      </c>
      <c r="Q345" s="3" t="str">
        <f t="shared" si="44"/>
        <v>Medium_order</v>
      </c>
      <c r="R345" s="3" t="str">
        <f t="shared" si="45"/>
        <v>Senior</v>
      </c>
      <c r="S345" s="11" t="str">
        <f t="shared" si="46"/>
        <v>High_profit</v>
      </c>
      <c r="T345" s="13" t="str">
        <f t="shared" si="47"/>
        <v>Mar</v>
      </c>
    </row>
    <row r="346" spans="1:20" x14ac:dyDescent="0.3">
      <c r="A346" s="9">
        <v>45521</v>
      </c>
      <c r="B346" s="3">
        <v>3345</v>
      </c>
      <c r="C346" s="3">
        <v>1016</v>
      </c>
      <c r="D346" s="3">
        <v>2043</v>
      </c>
      <c r="E346" s="3">
        <v>4</v>
      </c>
      <c r="F346" s="3">
        <f>VLOOKUP(Sheet1!$D346,Customers!$A$1:$D$51,2,TRUE)</f>
        <v>44</v>
      </c>
      <c r="G346" s="3" t="str">
        <f>VLOOKUP(Sheet1!$D346,Customers!$A$1:$D$51,3,TRUE)</f>
        <v>Male</v>
      </c>
      <c r="H346" s="3" t="str">
        <f>VLOOKUP(Sheet1!$D346,Customers!$A$1:$D$51,4,TRUE)</f>
        <v>Delhi</v>
      </c>
      <c r="I346" s="3" t="str">
        <f>VLOOKUP($C346,Products!$A$1:$E$21,2,TRUE)</f>
        <v>Yoga Mat</v>
      </c>
      <c r="J346" s="3" t="str">
        <f>VLOOKUP($C346,Products!$A$1:$E$21,3,TRUE)</f>
        <v>Fitness</v>
      </c>
      <c r="K346" s="4">
        <f>VLOOKUP($C346,Products!$A$1:$E$21,4,TRUE)</f>
        <v>330</v>
      </c>
      <c r="L346" s="4">
        <f>VLOOKUP($C346,Products!$A$1:$E$21,5,TRUE)</f>
        <v>490</v>
      </c>
      <c r="M346" s="4">
        <f t="shared" si="40"/>
        <v>1320</v>
      </c>
      <c r="N346" s="4">
        <f t="shared" si="41"/>
        <v>1960</v>
      </c>
      <c r="O346" s="4">
        <f t="shared" si="42"/>
        <v>640</v>
      </c>
      <c r="P346" s="5">
        <f t="shared" si="43"/>
        <v>0.32653061224489793</v>
      </c>
      <c r="Q346" s="3" t="str">
        <f t="shared" si="44"/>
        <v>Medium_order</v>
      </c>
      <c r="R346" s="3" t="str">
        <f t="shared" si="45"/>
        <v>Senior</v>
      </c>
      <c r="S346" s="11" t="str">
        <f t="shared" si="46"/>
        <v>Medium_profit</v>
      </c>
      <c r="T346" s="13" t="str">
        <f t="shared" si="47"/>
        <v>Aug</v>
      </c>
    </row>
    <row r="347" spans="1:20" x14ac:dyDescent="0.3">
      <c r="A347" s="9">
        <v>45587</v>
      </c>
      <c r="B347" s="3">
        <v>3346</v>
      </c>
      <c r="C347" s="3">
        <v>1004</v>
      </c>
      <c r="D347" s="3">
        <v>2012</v>
      </c>
      <c r="E347" s="3">
        <v>4</v>
      </c>
      <c r="F347" s="3">
        <f>VLOOKUP(Sheet1!$D347,Customers!$A$1:$D$51,2,TRUE)</f>
        <v>21</v>
      </c>
      <c r="G347" s="3" t="str">
        <f>VLOOKUP(Sheet1!$D347,Customers!$A$1:$D$51,3,TRUE)</f>
        <v>Female</v>
      </c>
      <c r="H347" s="3" t="str">
        <f>VLOOKUP(Sheet1!$D347,Customers!$A$1:$D$51,4,TRUE)</f>
        <v>Hyderabad</v>
      </c>
      <c r="I347" s="3" t="str">
        <f>VLOOKUP($C347,Products!$A$1:$E$21,2,TRUE)</f>
        <v>Speaker</v>
      </c>
      <c r="J347" s="3" t="str">
        <f>VLOOKUP($C347,Products!$A$1:$E$21,3,TRUE)</f>
        <v>Electronics</v>
      </c>
      <c r="K347" s="4">
        <f>VLOOKUP($C347,Products!$A$1:$E$21,4,TRUE)</f>
        <v>230</v>
      </c>
      <c r="L347" s="4">
        <f>VLOOKUP($C347,Products!$A$1:$E$21,5,TRUE)</f>
        <v>440</v>
      </c>
      <c r="M347" s="4">
        <f t="shared" si="40"/>
        <v>920</v>
      </c>
      <c r="N347" s="4">
        <f t="shared" si="41"/>
        <v>1760</v>
      </c>
      <c r="O347" s="4">
        <f t="shared" si="42"/>
        <v>840</v>
      </c>
      <c r="P347" s="5">
        <f t="shared" si="43"/>
        <v>0.47727272727272729</v>
      </c>
      <c r="Q347" s="3" t="str">
        <f t="shared" si="44"/>
        <v>Medium_order</v>
      </c>
      <c r="R347" s="3" t="str">
        <f t="shared" si="45"/>
        <v>Young</v>
      </c>
      <c r="S347" s="11" t="str">
        <f t="shared" si="46"/>
        <v>High_profit</v>
      </c>
      <c r="T347" s="13" t="str">
        <f t="shared" si="47"/>
        <v>Oct</v>
      </c>
    </row>
    <row r="348" spans="1:20" x14ac:dyDescent="0.3">
      <c r="A348" s="9">
        <v>45390</v>
      </c>
      <c r="B348" s="3">
        <v>3347</v>
      </c>
      <c r="C348" s="3">
        <v>1020</v>
      </c>
      <c r="D348" s="3">
        <v>2006</v>
      </c>
      <c r="E348" s="3">
        <v>10</v>
      </c>
      <c r="F348" s="3">
        <f>VLOOKUP(Sheet1!$D348,Customers!$A$1:$D$51,2,TRUE)</f>
        <v>32</v>
      </c>
      <c r="G348" s="3" t="str">
        <f>VLOOKUP(Sheet1!$D348,Customers!$A$1:$D$51,3,TRUE)</f>
        <v>Male</v>
      </c>
      <c r="H348" s="3" t="str">
        <f>VLOOKUP(Sheet1!$D348,Customers!$A$1:$D$51,4,TRUE)</f>
        <v>Hyderabad</v>
      </c>
      <c r="I348" s="3" t="str">
        <f>VLOOKUP($C348,Products!$A$1:$E$21,2,TRUE)</f>
        <v>Water Bottle</v>
      </c>
      <c r="J348" s="3" t="str">
        <f>VLOOKUP($C348,Products!$A$1:$E$21,3,TRUE)</f>
        <v>Fitness</v>
      </c>
      <c r="K348" s="4">
        <f>VLOOKUP($C348,Products!$A$1:$E$21,4,TRUE)</f>
        <v>400</v>
      </c>
      <c r="L348" s="4">
        <f>VLOOKUP($C348,Products!$A$1:$E$21,5,TRUE)</f>
        <v>560</v>
      </c>
      <c r="M348" s="4">
        <f t="shared" si="40"/>
        <v>4000</v>
      </c>
      <c r="N348" s="4">
        <f t="shared" si="41"/>
        <v>5600</v>
      </c>
      <c r="O348" s="4">
        <f t="shared" si="42"/>
        <v>1600</v>
      </c>
      <c r="P348" s="5">
        <f t="shared" si="43"/>
        <v>0.2857142857142857</v>
      </c>
      <c r="Q348" s="3" t="str">
        <f t="shared" si="44"/>
        <v>High_order</v>
      </c>
      <c r="R348" s="3" t="str">
        <f t="shared" si="45"/>
        <v>Middle_age</v>
      </c>
      <c r="S348" s="11" t="str">
        <f t="shared" si="46"/>
        <v>Low_profit</v>
      </c>
      <c r="T348" s="13" t="str">
        <f t="shared" si="47"/>
        <v>Apr</v>
      </c>
    </row>
    <row r="349" spans="1:20" x14ac:dyDescent="0.3">
      <c r="A349" s="9">
        <v>45605</v>
      </c>
      <c r="B349" s="3">
        <v>3348</v>
      </c>
      <c r="C349" s="3">
        <v>1007</v>
      </c>
      <c r="D349" s="3">
        <v>2017</v>
      </c>
      <c r="E349" s="3">
        <v>10</v>
      </c>
      <c r="F349" s="3">
        <f>VLOOKUP(Sheet1!$D349,Customers!$A$1:$D$51,2,TRUE)</f>
        <v>32</v>
      </c>
      <c r="G349" s="3" t="str">
        <f>VLOOKUP(Sheet1!$D349,Customers!$A$1:$D$51,3,TRUE)</f>
        <v>Male</v>
      </c>
      <c r="H349" s="3" t="str">
        <f>VLOOKUP(Sheet1!$D349,Customers!$A$1:$D$51,4,TRUE)</f>
        <v>Delhi</v>
      </c>
      <c r="I349" s="3" t="str">
        <f>VLOOKUP($C349,Products!$A$1:$E$21,2,TRUE)</f>
        <v>Charger</v>
      </c>
      <c r="J349" s="3" t="str">
        <f>VLOOKUP($C349,Products!$A$1:$E$21,3,TRUE)</f>
        <v>Accessories</v>
      </c>
      <c r="K349" s="4">
        <f>VLOOKUP($C349,Products!$A$1:$E$21,4,TRUE)</f>
        <v>160</v>
      </c>
      <c r="L349" s="4">
        <f>VLOOKUP($C349,Products!$A$1:$E$21,5,TRUE)</f>
        <v>230</v>
      </c>
      <c r="M349" s="4">
        <f t="shared" si="40"/>
        <v>1600</v>
      </c>
      <c r="N349" s="4">
        <f t="shared" si="41"/>
        <v>2300</v>
      </c>
      <c r="O349" s="4">
        <f t="shared" si="42"/>
        <v>700</v>
      </c>
      <c r="P349" s="5">
        <f t="shared" si="43"/>
        <v>0.30434782608695654</v>
      </c>
      <c r="Q349" s="3" t="str">
        <f t="shared" si="44"/>
        <v>Medium_order</v>
      </c>
      <c r="R349" s="3" t="str">
        <f t="shared" si="45"/>
        <v>Middle_age</v>
      </c>
      <c r="S349" s="11" t="str">
        <f t="shared" si="46"/>
        <v>Low_profit</v>
      </c>
      <c r="T349" s="13" t="str">
        <f t="shared" si="47"/>
        <v>Nov</v>
      </c>
    </row>
    <row r="350" spans="1:20" x14ac:dyDescent="0.3">
      <c r="A350" s="9">
        <v>45501</v>
      </c>
      <c r="B350" s="3">
        <v>3349</v>
      </c>
      <c r="C350" s="3">
        <v>1006</v>
      </c>
      <c r="D350" s="3">
        <v>2027</v>
      </c>
      <c r="E350" s="3">
        <v>5</v>
      </c>
      <c r="F350" s="3">
        <f>VLOOKUP(Sheet1!$D350,Customers!$A$1:$D$51,2,TRUE)</f>
        <v>27</v>
      </c>
      <c r="G350" s="3" t="str">
        <f>VLOOKUP(Sheet1!$D350,Customers!$A$1:$D$51,3,TRUE)</f>
        <v>Female</v>
      </c>
      <c r="H350" s="3" t="str">
        <f>VLOOKUP(Sheet1!$D350,Customers!$A$1:$D$51,4,TRUE)</f>
        <v>Chandigarh</v>
      </c>
      <c r="I350" s="3" t="str">
        <f>VLOOKUP($C350,Products!$A$1:$E$21,2,TRUE)</f>
        <v>Phone Case</v>
      </c>
      <c r="J350" s="3" t="str">
        <f>VLOOKUP($C350,Products!$A$1:$E$21,3,TRUE)</f>
        <v>Accessories</v>
      </c>
      <c r="K350" s="4">
        <f>VLOOKUP($C350,Products!$A$1:$E$21,4,TRUE)</f>
        <v>320</v>
      </c>
      <c r="L350" s="4">
        <f>VLOOKUP($C350,Products!$A$1:$E$21,5,TRUE)</f>
        <v>430</v>
      </c>
      <c r="M350" s="4">
        <f t="shared" si="40"/>
        <v>1600</v>
      </c>
      <c r="N350" s="4">
        <f t="shared" si="41"/>
        <v>2150</v>
      </c>
      <c r="O350" s="4">
        <f t="shared" si="42"/>
        <v>550</v>
      </c>
      <c r="P350" s="5">
        <f t="shared" si="43"/>
        <v>0.2558139534883721</v>
      </c>
      <c r="Q350" s="3" t="str">
        <f t="shared" si="44"/>
        <v>Medium_order</v>
      </c>
      <c r="R350" s="3" t="str">
        <f t="shared" si="45"/>
        <v>Young</v>
      </c>
      <c r="S350" s="11" t="str">
        <f t="shared" si="46"/>
        <v>Low_profit</v>
      </c>
      <c r="T350" s="13" t="str">
        <f t="shared" si="47"/>
        <v>Jul</v>
      </c>
    </row>
    <row r="351" spans="1:20" x14ac:dyDescent="0.3">
      <c r="A351" s="9">
        <v>45532</v>
      </c>
      <c r="B351" s="3">
        <v>3350</v>
      </c>
      <c r="C351" s="3">
        <v>1018</v>
      </c>
      <c r="D351" s="3">
        <v>2010</v>
      </c>
      <c r="E351" s="3">
        <v>4</v>
      </c>
      <c r="F351" s="3">
        <f>VLOOKUP(Sheet1!$D351,Customers!$A$1:$D$51,2,TRUE)</f>
        <v>38</v>
      </c>
      <c r="G351" s="3" t="str">
        <f>VLOOKUP(Sheet1!$D351,Customers!$A$1:$D$51,3,TRUE)</f>
        <v>Female</v>
      </c>
      <c r="H351" s="3" t="str">
        <f>VLOOKUP(Sheet1!$D351,Customers!$A$1:$D$51,4,TRUE)</f>
        <v>Mumbai</v>
      </c>
      <c r="I351" s="3" t="str">
        <f>VLOOKUP($C351,Products!$A$1:$E$21,2,TRUE)</f>
        <v>Resistance Band</v>
      </c>
      <c r="J351" s="3" t="str">
        <f>VLOOKUP($C351,Products!$A$1:$E$21,3,TRUE)</f>
        <v>Fitness</v>
      </c>
      <c r="K351" s="4">
        <f>VLOOKUP($C351,Products!$A$1:$E$21,4,TRUE)</f>
        <v>310</v>
      </c>
      <c r="L351" s="4">
        <f>VLOOKUP($C351,Products!$A$1:$E$21,5,TRUE)</f>
        <v>480</v>
      </c>
      <c r="M351" s="4">
        <f t="shared" si="40"/>
        <v>1240</v>
      </c>
      <c r="N351" s="4">
        <f t="shared" si="41"/>
        <v>1920</v>
      </c>
      <c r="O351" s="4">
        <f t="shared" si="42"/>
        <v>680</v>
      </c>
      <c r="P351" s="5">
        <f t="shared" si="43"/>
        <v>0.35416666666666669</v>
      </c>
      <c r="Q351" s="3" t="str">
        <f t="shared" si="44"/>
        <v>Medium_order</v>
      </c>
      <c r="R351" s="3" t="str">
        <f t="shared" si="45"/>
        <v>Middle_age</v>
      </c>
      <c r="S351" s="11" t="str">
        <f t="shared" si="46"/>
        <v>Medium_profit</v>
      </c>
      <c r="T351" s="13" t="str">
        <f t="shared" si="47"/>
        <v>Aug</v>
      </c>
    </row>
    <row r="352" spans="1:20" x14ac:dyDescent="0.3">
      <c r="A352" s="9">
        <v>45453</v>
      </c>
      <c r="B352" s="3">
        <v>3351</v>
      </c>
      <c r="C352" s="3">
        <v>1014</v>
      </c>
      <c r="D352" s="3">
        <v>2026</v>
      </c>
      <c r="E352" s="3">
        <v>5</v>
      </c>
      <c r="F352" s="3">
        <f>VLOOKUP(Sheet1!$D352,Customers!$A$1:$D$51,2,TRUE)</f>
        <v>27</v>
      </c>
      <c r="G352" s="3" t="str">
        <f>VLOOKUP(Sheet1!$D352,Customers!$A$1:$D$51,3,TRUE)</f>
        <v>Female</v>
      </c>
      <c r="H352" s="3" t="str">
        <f>VLOOKUP(Sheet1!$D352,Customers!$A$1:$D$51,4,TRUE)</f>
        <v>Mumbai</v>
      </c>
      <c r="I352" s="3" t="str">
        <f>VLOOKUP($C352,Products!$A$1:$E$21,2,TRUE)</f>
        <v>Stapler</v>
      </c>
      <c r="J352" s="3" t="str">
        <f>VLOOKUP($C352,Products!$A$1:$E$21,3,TRUE)</f>
        <v>Office</v>
      </c>
      <c r="K352" s="4">
        <f>VLOOKUP($C352,Products!$A$1:$E$21,4,TRUE)</f>
        <v>170</v>
      </c>
      <c r="L352" s="4">
        <f>VLOOKUP($C352,Products!$A$1:$E$21,5,TRUE)</f>
        <v>280</v>
      </c>
      <c r="M352" s="4">
        <f t="shared" si="40"/>
        <v>850</v>
      </c>
      <c r="N352" s="4">
        <f t="shared" si="41"/>
        <v>1400</v>
      </c>
      <c r="O352" s="4">
        <f t="shared" si="42"/>
        <v>550</v>
      </c>
      <c r="P352" s="5">
        <f t="shared" si="43"/>
        <v>0.39285714285714285</v>
      </c>
      <c r="Q352" s="3" t="str">
        <f t="shared" si="44"/>
        <v>Medium_order</v>
      </c>
      <c r="R352" s="3" t="str">
        <f t="shared" si="45"/>
        <v>Young</v>
      </c>
      <c r="S352" s="11" t="str">
        <f t="shared" si="46"/>
        <v>Medium_profit</v>
      </c>
      <c r="T352" s="13" t="str">
        <f t="shared" si="47"/>
        <v>Jun</v>
      </c>
    </row>
    <row r="353" spans="1:20" x14ac:dyDescent="0.3">
      <c r="A353" s="9">
        <v>45599</v>
      </c>
      <c r="B353" s="3">
        <v>3352</v>
      </c>
      <c r="C353" s="3">
        <v>1019</v>
      </c>
      <c r="D353" s="3">
        <v>2027</v>
      </c>
      <c r="E353" s="3">
        <v>4</v>
      </c>
      <c r="F353" s="3">
        <f>VLOOKUP(Sheet1!$D353,Customers!$A$1:$D$51,2,TRUE)</f>
        <v>27</v>
      </c>
      <c r="G353" s="3" t="str">
        <f>VLOOKUP(Sheet1!$D353,Customers!$A$1:$D$51,3,TRUE)</f>
        <v>Female</v>
      </c>
      <c r="H353" s="3" t="str">
        <f>VLOOKUP(Sheet1!$D353,Customers!$A$1:$D$51,4,TRUE)</f>
        <v>Chandigarh</v>
      </c>
      <c r="I353" s="3" t="str">
        <f>VLOOKUP($C353,Products!$A$1:$E$21,2,TRUE)</f>
        <v>Skipping Rope</v>
      </c>
      <c r="J353" s="3" t="str">
        <f>VLOOKUP($C353,Products!$A$1:$E$21,3,TRUE)</f>
        <v>Fitness</v>
      </c>
      <c r="K353" s="4">
        <f>VLOOKUP($C353,Products!$A$1:$E$21,4,TRUE)</f>
        <v>140</v>
      </c>
      <c r="L353" s="4">
        <f>VLOOKUP($C353,Products!$A$1:$E$21,5,TRUE)</f>
        <v>270</v>
      </c>
      <c r="M353" s="4">
        <f t="shared" si="40"/>
        <v>560</v>
      </c>
      <c r="N353" s="4">
        <f t="shared" si="41"/>
        <v>1080</v>
      </c>
      <c r="O353" s="4">
        <f t="shared" si="42"/>
        <v>520</v>
      </c>
      <c r="P353" s="5">
        <f t="shared" si="43"/>
        <v>0.48148148148148145</v>
      </c>
      <c r="Q353" s="3" t="str">
        <f t="shared" si="44"/>
        <v>Low_order</v>
      </c>
      <c r="R353" s="3" t="str">
        <f t="shared" si="45"/>
        <v>Young</v>
      </c>
      <c r="S353" s="11" t="str">
        <f t="shared" si="46"/>
        <v>High_profit</v>
      </c>
      <c r="T353" s="13" t="str">
        <f t="shared" si="47"/>
        <v>Nov</v>
      </c>
    </row>
    <row r="354" spans="1:20" x14ac:dyDescent="0.3">
      <c r="A354" s="9">
        <v>45341</v>
      </c>
      <c r="B354" s="3">
        <v>3353</v>
      </c>
      <c r="C354" s="3">
        <v>1007</v>
      </c>
      <c r="D354" s="3">
        <v>2025</v>
      </c>
      <c r="E354" s="3">
        <v>4</v>
      </c>
      <c r="F354" s="3">
        <f>VLOOKUP(Sheet1!$D354,Customers!$A$1:$D$51,2,TRUE)</f>
        <v>34</v>
      </c>
      <c r="G354" s="3" t="str">
        <f>VLOOKUP(Sheet1!$D354,Customers!$A$1:$D$51,3,TRUE)</f>
        <v>Male</v>
      </c>
      <c r="H354" s="3" t="str">
        <f>VLOOKUP(Sheet1!$D354,Customers!$A$1:$D$51,4,TRUE)</f>
        <v>Delhi</v>
      </c>
      <c r="I354" s="3" t="str">
        <f>VLOOKUP($C354,Products!$A$1:$E$21,2,TRUE)</f>
        <v>Charger</v>
      </c>
      <c r="J354" s="3" t="str">
        <f>VLOOKUP($C354,Products!$A$1:$E$21,3,TRUE)</f>
        <v>Accessories</v>
      </c>
      <c r="K354" s="4">
        <f>VLOOKUP($C354,Products!$A$1:$E$21,4,TRUE)</f>
        <v>160</v>
      </c>
      <c r="L354" s="4">
        <f>VLOOKUP($C354,Products!$A$1:$E$21,5,TRUE)</f>
        <v>230</v>
      </c>
      <c r="M354" s="4">
        <f t="shared" si="40"/>
        <v>640</v>
      </c>
      <c r="N354" s="4">
        <f t="shared" si="41"/>
        <v>920</v>
      </c>
      <c r="O354" s="4">
        <f t="shared" si="42"/>
        <v>280</v>
      </c>
      <c r="P354" s="5">
        <f t="shared" si="43"/>
        <v>0.30434782608695654</v>
      </c>
      <c r="Q354" s="3" t="str">
        <f t="shared" si="44"/>
        <v>Low_order</v>
      </c>
      <c r="R354" s="3" t="str">
        <f t="shared" si="45"/>
        <v>Middle_age</v>
      </c>
      <c r="S354" s="11" t="str">
        <f t="shared" si="46"/>
        <v>Low_profit</v>
      </c>
      <c r="T354" s="13" t="str">
        <f t="shared" si="47"/>
        <v>Feb</v>
      </c>
    </row>
    <row r="355" spans="1:20" x14ac:dyDescent="0.3">
      <c r="A355" s="9">
        <v>45393</v>
      </c>
      <c r="B355" s="3">
        <v>3354</v>
      </c>
      <c r="C355" s="3">
        <v>1011</v>
      </c>
      <c r="D355" s="3">
        <v>2004</v>
      </c>
      <c r="E355" s="3">
        <v>1</v>
      </c>
      <c r="F355" s="3">
        <f>VLOOKUP(Sheet1!$D355,Customers!$A$1:$D$51,2,TRUE)</f>
        <v>25</v>
      </c>
      <c r="G355" s="3" t="str">
        <f>VLOOKUP(Sheet1!$D355,Customers!$A$1:$D$51,3,TRUE)</f>
        <v>Male</v>
      </c>
      <c r="H355" s="3" t="str">
        <f>VLOOKUP(Sheet1!$D355,Customers!$A$1:$D$51,4,TRUE)</f>
        <v>Pune</v>
      </c>
      <c r="I355" s="3" t="str">
        <f>VLOOKUP($C355,Products!$A$1:$E$21,2,TRUE)</f>
        <v>Notebook</v>
      </c>
      <c r="J355" s="3" t="str">
        <f>VLOOKUP($C355,Products!$A$1:$E$21,3,TRUE)</f>
        <v>Office</v>
      </c>
      <c r="K355" s="4">
        <f>VLOOKUP($C355,Products!$A$1:$E$21,4,TRUE)</f>
        <v>120</v>
      </c>
      <c r="L355" s="4">
        <f>VLOOKUP($C355,Products!$A$1:$E$21,5,TRUE)</f>
        <v>180</v>
      </c>
      <c r="M355" s="4">
        <f t="shared" si="40"/>
        <v>120</v>
      </c>
      <c r="N355" s="4">
        <f t="shared" si="41"/>
        <v>180</v>
      </c>
      <c r="O355" s="4">
        <f t="shared" si="42"/>
        <v>60</v>
      </c>
      <c r="P355" s="5">
        <f t="shared" si="43"/>
        <v>0.33333333333333331</v>
      </c>
      <c r="Q355" s="3" t="str">
        <f t="shared" si="44"/>
        <v>Low_order</v>
      </c>
      <c r="R355" s="3" t="str">
        <f t="shared" si="45"/>
        <v>Young</v>
      </c>
      <c r="S355" s="11" t="str">
        <f t="shared" si="46"/>
        <v>Medium_profit</v>
      </c>
      <c r="T355" s="13" t="str">
        <f t="shared" si="47"/>
        <v>Apr</v>
      </c>
    </row>
    <row r="356" spans="1:20" x14ac:dyDescent="0.3">
      <c r="A356" s="9">
        <v>45610</v>
      </c>
      <c r="B356" s="3">
        <v>3355</v>
      </c>
      <c r="C356" s="3">
        <v>1002</v>
      </c>
      <c r="D356" s="3">
        <v>2005</v>
      </c>
      <c r="E356" s="3">
        <v>4</v>
      </c>
      <c r="F356" s="3">
        <f>VLOOKUP(Sheet1!$D356,Customers!$A$1:$D$51,2,TRUE)</f>
        <v>56</v>
      </c>
      <c r="G356" s="3" t="str">
        <f>VLOOKUP(Sheet1!$D356,Customers!$A$1:$D$51,3,TRUE)</f>
        <v>Female</v>
      </c>
      <c r="H356" s="3" t="str">
        <f>VLOOKUP(Sheet1!$D356,Customers!$A$1:$D$51,4,TRUE)</f>
        <v>Hyderabad</v>
      </c>
      <c r="I356" s="3" t="str">
        <f>VLOOKUP($C356,Products!$A$1:$E$21,2,TRUE)</f>
        <v>Keyboard</v>
      </c>
      <c r="J356" s="3" t="str">
        <f>VLOOKUP($C356,Products!$A$1:$E$21,3,TRUE)</f>
        <v>Electronics</v>
      </c>
      <c r="K356" s="4">
        <f>VLOOKUP($C356,Products!$A$1:$E$21,4,TRUE)</f>
        <v>230</v>
      </c>
      <c r="L356" s="4">
        <f>VLOOKUP($C356,Products!$A$1:$E$21,5,TRUE)</f>
        <v>400</v>
      </c>
      <c r="M356" s="4">
        <f t="shared" si="40"/>
        <v>920</v>
      </c>
      <c r="N356" s="4">
        <f t="shared" si="41"/>
        <v>1600</v>
      </c>
      <c r="O356" s="4">
        <f t="shared" si="42"/>
        <v>680</v>
      </c>
      <c r="P356" s="5">
        <f t="shared" si="43"/>
        <v>0.42499999999999999</v>
      </c>
      <c r="Q356" s="3" t="str">
        <f t="shared" si="44"/>
        <v>Medium_order</v>
      </c>
      <c r="R356" s="3" t="str">
        <f t="shared" si="45"/>
        <v>Senior</v>
      </c>
      <c r="S356" s="11" t="str">
        <f t="shared" si="46"/>
        <v>High_profit</v>
      </c>
      <c r="T356" s="13" t="str">
        <f t="shared" si="47"/>
        <v>Nov</v>
      </c>
    </row>
    <row r="357" spans="1:20" x14ac:dyDescent="0.3">
      <c r="A357" s="9">
        <v>45407</v>
      </c>
      <c r="B357" s="3">
        <v>3356</v>
      </c>
      <c r="C357" s="3">
        <v>1019</v>
      </c>
      <c r="D357" s="3">
        <v>2037</v>
      </c>
      <c r="E357" s="3">
        <v>9</v>
      </c>
      <c r="F357" s="3">
        <f>VLOOKUP(Sheet1!$D357,Customers!$A$1:$D$51,2,TRUE)</f>
        <v>38</v>
      </c>
      <c r="G357" s="3" t="str">
        <f>VLOOKUP(Sheet1!$D357,Customers!$A$1:$D$51,3,TRUE)</f>
        <v>Male</v>
      </c>
      <c r="H357" s="3" t="str">
        <f>VLOOKUP(Sheet1!$D357,Customers!$A$1:$D$51,4,TRUE)</f>
        <v>Chandigarh</v>
      </c>
      <c r="I357" s="3" t="str">
        <f>VLOOKUP($C357,Products!$A$1:$E$21,2,TRUE)</f>
        <v>Skipping Rope</v>
      </c>
      <c r="J357" s="3" t="str">
        <f>VLOOKUP($C357,Products!$A$1:$E$21,3,TRUE)</f>
        <v>Fitness</v>
      </c>
      <c r="K357" s="4">
        <f>VLOOKUP($C357,Products!$A$1:$E$21,4,TRUE)</f>
        <v>140</v>
      </c>
      <c r="L357" s="4">
        <f>VLOOKUP($C357,Products!$A$1:$E$21,5,TRUE)</f>
        <v>270</v>
      </c>
      <c r="M357" s="4">
        <f t="shared" si="40"/>
        <v>1260</v>
      </c>
      <c r="N357" s="4">
        <f t="shared" si="41"/>
        <v>2430</v>
      </c>
      <c r="O357" s="4">
        <f t="shared" si="42"/>
        <v>1170</v>
      </c>
      <c r="P357" s="5">
        <f t="shared" si="43"/>
        <v>0.48148148148148145</v>
      </c>
      <c r="Q357" s="3" t="str">
        <f t="shared" si="44"/>
        <v>High_order</v>
      </c>
      <c r="R357" s="3" t="str">
        <f t="shared" si="45"/>
        <v>Middle_age</v>
      </c>
      <c r="S357" s="11" t="str">
        <f t="shared" si="46"/>
        <v>High_profit</v>
      </c>
      <c r="T357" s="13" t="str">
        <f t="shared" si="47"/>
        <v>Apr</v>
      </c>
    </row>
    <row r="358" spans="1:20" x14ac:dyDescent="0.3">
      <c r="A358" s="9">
        <v>45300</v>
      </c>
      <c r="B358" s="3">
        <v>3357</v>
      </c>
      <c r="C358" s="3">
        <v>1001</v>
      </c>
      <c r="D358" s="3">
        <v>2029</v>
      </c>
      <c r="E358" s="3">
        <v>6</v>
      </c>
      <c r="F358" s="3">
        <f>VLOOKUP(Sheet1!$D358,Customers!$A$1:$D$51,2,TRUE)</f>
        <v>53</v>
      </c>
      <c r="G358" s="3" t="str">
        <f>VLOOKUP(Sheet1!$D358,Customers!$A$1:$D$51,3,TRUE)</f>
        <v>Male</v>
      </c>
      <c r="H358" s="3" t="str">
        <f>VLOOKUP(Sheet1!$D358,Customers!$A$1:$D$51,4,TRUE)</f>
        <v>Delhi</v>
      </c>
      <c r="I358" s="3" t="str">
        <f>VLOOKUP($C358,Products!$A$1:$E$21,2,TRUE)</f>
        <v>Headphones</v>
      </c>
      <c r="J358" s="3" t="str">
        <f>VLOOKUP($C358,Products!$A$1:$E$21,3,TRUE)</f>
        <v>Electronics</v>
      </c>
      <c r="K358" s="4">
        <f>VLOOKUP($C358,Products!$A$1:$E$21,4,TRUE)</f>
        <v>380</v>
      </c>
      <c r="L358" s="4">
        <f>VLOOKUP($C358,Products!$A$1:$E$21,5,TRUE)</f>
        <v>550</v>
      </c>
      <c r="M358" s="4">
        <f t="shared" si="40"/>
        <v>2280</v>
      </c>
      <c r="N358" s="4">
        <f t="shared" si="41"/>
        <v>3300</v>
      </c>
      <c r="O358" s="4">
        <f t="shared" si="42"/>
        <v>1020</v>
      </c>
      <c r="P358" s="5">
        <f t="shared" si="43"/>
        <v>0.30909090909090908</v>
      </c>
      <c r="Q358" s="3" t="str">
        <f t="shared" si="44"/>
        <v>High_order</v>
      </c>
      <c r="R358" s="3" t="str">
        <f t="shared" si="45"/>
        <v>Senior</v>
      </c>
      <c r="S358" s="11" t="str">
        <f t="shared" si="46"/>
        <v>Low_profit</v>
      </c>
      <c r="T358" s="13" t="str">
        <f t="shared" si="47"/>
        <v>Jan</v>
      </c>
    </row>
    <row r="359" spans="1:20" x14ac:dyDescent="0.3">
      <c r="A359" s="9">
        <v>45461</v>
      </c>
      <c r="B359" s="3">
        <v>3358</v>
      </c>
      <c r="C359" s="3">
        <v>1020</v>
      </c>
      <c r="D359" s="3">
        <v>2011</v>
      </c>
      <c r="E359" s="3">
        <v>6</v>
      </c>
      <c r="F359" s="3">
        <f>VLOOKUP(Sheet1!$D359,Customers!$A$1:$D$51,2,TRUE)</f>
        <v>33</v>
      </c>
      <c r="G359" s="3" t="str">
        <f>VLOOKUP(Sheet1!$D359,Customers!$A$1:$D$51,3,TRUE)</f>
        <v>Female</v>
      </c>
      <c r="H359" s="3" t="str">
        <f>VLOOKUP(Sheet1!$D359,Customers!$A$1:$D$51,4,TRUE)</f>
        <v>Chandigarh</v>
      </c>
      <c r="I359" s="3" t="str">
        <f>VLOOKUP($C359,Products!$A$1:$E$21,2,TRUE)</f>
        <v>Water Bottle</v>
      </c>
      <c r="J359" s="3" t="str">
        <f>VLOOKUP($C359,Products!$A$1:$E$21,3,TRUE)</f>
        <v>Fitness</v>
      </c>
      <c r="K359" s="4">
        <f>VLOOKUP($C359,Products!$A$1:$E$21,4,TRUE)</f>
        <v>400</v>
      </c>
      <c r="L359" s="4">
        <f>VLOOKUP($C359,Products!$A$1:$E$21,5,TRUE)</f>
        <v>560</v>
      </c>
      <c r="M359" s="4">
        <f t="shared" si="40"/>
        <v>2400</v>
      </c>
      <c r="N359" s="4">
        <f t="shared" si="41"/>
        <v>3360</v>
      </c>
      <c r="O359" s="4">
        <f t="shared" si="42"/>
        <v>960</v>
      </c>
      <c r="P359" s="5">
        <f t="shared" si="43"/>
        <v>0.2857142857142857</v>
      </c>
      <c r="Q359" s="3" t="str">
        <f t="shared" si="44"/>
        <v>High_order</v>
      </c>
      <c r="R359" s="3" t="str">
        <f t="shared" si="45"/>
        <v>Middle_age</v>
      </c>
      <c r="S359" s="11" t="str">
        <f t="shared" si="46"/>
        <v>Low_profit</v>
      </c>
      <c r="T359" s="13" t="str">
        <f t="shared" si="47"/>
        <v>Jun</v>
      </c>
    </row>
    <row r="360" spans="1:20" x14ac:dyDescent="0.3">
      <c r="A360" s="9">
        <v>45422</v>
      </c>
      <c r="B360" s="3">
        <v>3359</v>
      </c>
      <c r="C360" s="3">
        <v>1020</v>
      </c>
      <c r="D360" s="3">
        <v>2035</v>
      </c>
      <c r="E360" s="3">
        <v>9</v>
      </c>
      <c r="F360" s="3">
        <f>VLOOKUP(Sheet1!$D360,Customers!$A$1:$D$51,2,TRUE)</f>
        <v>37</v>
      </c>
      <c r="G360" s="3" t="str">
        <f>VLOOKUP(Sheet1!$D360,Customers!$A$1:$D$51,3,TRUE)</f>
        <v>Female</v>
      </c>
      <c r="H360" s="3" t="str">
        <f>VLOOKUP(Sheet1!$D360,Customers!$A$1:$D$51,4,TRUE)</f>
        <v>Delhi</v>
      </c>
      <c r="I360" s="3" t="str">
        <f>VLOOKUP($C360,Products!$A$1:$E$21,2,TRUE)</f>
        <v>Water Bottle</v>
      </c>
      <c r="J360" s="3" t="str">
        <f>VLOOKUP($C360,Products!$A$1:$E$21,3,TRUE)</f>
        <v>Fitness</v>
      </c>
      <c r="K360" s="4">
        <f>VLOOKUP($C360,Products!$A$1:$E$21,4,TRUE)</f>
        <v>400</v>
      </c>
      <c r="L360" s="4">
        <f>VLOOKUP($C360,Products!$A$1:$E$21,5,TRUE)</f>
        <v>560</v>
      </c>
      <c r="M360" s="4">
        <f t="shared" si="40"/>
        <v>3600</v>
      </c>
      <c r="N360" s="4">
        <f t="shared" si="41"/>
        <v>5040</v>
      </c>
      <c r="O360" s="4">
        <f t="shared" si="42"/>
        <v>1440</v>
      </c>
      <c r="P360" s="5">
        <f t="shared" si="43"/>
        <v>0.2857142857142857</v>
      </c>
      <c r="Q360" s="3" t="str">
        <f t="shared" si="44"/>
        <v>High_order</v>
      </c>
      <c r="R360" s="3" t="str">
        <f t="shared" si="45"/>
        <v>Middle_age</v>
      </c>
      <c r="S360" s="11" t="str">
        <f t="shared" si="46"/>
        <v>Low_profit</v>
      </c>
      <c r="T360" s="13" t="str">
        <f t="shared" si="47"/>
        <v>May</v>
      </c>
    </row>
    <row r="361" spans="1:20" x14ac:dyDescent="0.3">
      <c r="A361" s="9">
        <v>45519</v>
      </c>
      <c r="B361" s="3">
        <v>3360</v>
      </c>
      <c r="C361" s="3">
        <v>1003</v>
      </c>
      <c r="D361" s="3">
        <v>2008</v>
      </c>
      <c r="E361" s="3">
        <v>9</v>
      </c>
      <c r="F361" s="3">
        <f>VLOOKUP(Sheet1!$D361,Customers!$A$1:$D$51,2,TRUE)</f>
        <v>36</v>
      </c>
      <c r="G361" s="3" t="str">
        <f>VLOOKUP(Sheet1!$D361,Customers!$A$1:$D$51,3,TRUE)</f>
        <v>Male</v>
      </c>
      <c r="H361" s="3" t="str">
        <f>VLOOKUP(Sheet1!$D361,Customers!$A$1:$D$51,4,TRUE)</f>
        <v>Mumbai</v>
      </c>
      <c r="I361" s="3" t="str">
        <f>VLOOKUP($C361,Products!$A$1:$E$21,2,TRUE)</f>
        <v>Mouse</v>
      </c>
      <c r="J361" s="3" t="str">
        <f>VLOOKUP($C361,Products!$A$1:$E$21,3,TRUE)</f>
        <v>Electronics</v>
      </c>
      <c r="K361" s="4">
        <f>VLOOKUP($C361,Products!$A$1:$E$21,4,TRUE)</f>
        <v>140</v>
      </c>
      <c r="L361" s="4">
        <f>VLOOKUP($C361,Products!$A$1:$E$21,5,TRUE)</f>
        <v>350</v>
      </c>
      <c r="M361" s="4">
        <f t="shared" si="40"/>
        <v>1260</v>
      </c>
      <c r="N361" s="4">
        <f t="shared" si="41"/>
        <v>3150</v>
      </c>
      <c r="O361" s="4">
        <f t="shared" si="42"/>
        <v>1890</v>
      </c>
      <c r="P361" s="5">
        <f t="shared" si="43"/>
        <v>0.6</v>
      </c>
      <c r="Q361" s="3" t="str">
        <f t="shared" si="44"/>
        <v>High_order</v>
      </c>
      <c r="R361" s="3" t="str">
        <f t="shared" si="45"/>
        <v>Middle_age</v>
      </c>
      <c r="S361" s="11" t="str">
        <f t="shared" si="46"/>
        <v>High_profit</v>
      </c>
      <c r="T361" s="13" t="str">
        <f t="shared" si="47"/>
        <v>Aug</v>
      </c>
    </row>
    <row r="362" spans="1:20" x14ac:dyDescent="0.3">
      <c r="A362" s="9">
        <v>45347</v>
      </c>
      <c r="B362" s="3">
        <v>3361</v>
      </c>
      <c r="C362" s="3">
        <v>1003</v>
      </c>
      <c r="D362" s="3">
        <v>2007</v>
      </c>
      <c r="E362" s="3">
        <v>2</v>
      </c>
      <c r="F362" s="3">
        <f>VLOOKUP(Sheet1!$D362,Customers!$A$1:$D$51,2,TRUE)</f>
        <v>34</v>
      </c>
      <c r="G362" s="3" t="str">
        <f>VLOOKUP(Sheet1!$D362,Customers!$A$1:$D$51,3,TRUE)</f>
        <v>Male</v>
      </c>
      <c r="H362" s="3" t="str">
        <f>VLOOKUP(Sheet1!$D362,Customers!$A$1:$D$51,4,TRUE)</f>
        <v>Bangalore</v>
      </c>
      <c r="I362" s="3" t="str">
        <f>VLOOKUP($C362,Products!$A$1:$E$21,2,TRUE)</f>
        <v>Mouse</v>
      </c>
      <c r="J362" s="3" t="str">
        <f>VLOOKUP($C362,Products!$A$1:$E$21,3,TRUE)</f>
        <v>Electronics</v>
      </c>
      <c r="K362" s="4">
        <f>VLOOKUP($C362,Products!$A$1:$E$21,4,TRUE)</f>
        <v>140</v>
      </c>
      <c r="L362" s="4">
        <f>VLOOKUP($C362,Products!$A$1:$E$21,5,TRUE)</f>
        <v>350</v>
      </c>
      <c r="M362" s="4">
        <f t="shared" si="40"/>
        <v>280</v>
      </c>
      <c r="N362" s="4">
        <f t="shared" si="41"/>
        <v>700</v>
      </c>
      <c r="O362" s="4">
        <f t="shared" si="42"/>
        <v>420</v>
      </c>
      <c r="P362" s="5">
        <f t="shared" si="43"/>
        <v>0.6</v>
      </c>
      <c r="Q362" s="3" t="str">
        <f t="shared" si="44"/>
        <v>Low_order</v>
      </c>
      <c r="R362" s="3" t="str">
        <f t="shared" si="45"/>
        <v>Middle_age</v>
      </c>
      <c r="S362" s="11" t="str">
        <f t="shared" si="46"/>
        <v>High_profit</v>
      </c>
      <c r="T362" s="13" t="str">
        <f t="shared" si="47"/>
        <v>Feb</v>
      </c>
    </row>
    <row r="363" spans="1:20" x14ac:dyDescent="0.3">
      <c r="A363" s="9">
        <v>45413</v>
      </c>
      <c r="B363" s="3">
        <v>3362</v>
      </c>
      <c r="C363" s="3">
        <v>1010</v>
      </c>
      <c r="D363" s="3">
        <v>2046</v>
      </c>
      <c r="E363" s="3">
        <v>6</v>
      </c>
      <c r="F363" s="3">
        <f>VLOOKUP(Sheet1!$D363,Customers!$A$1:$D$51,2,TRUE)</f>
        <v>52</v>
      </c>
      <c r="G363" s="3" t="str">
        <f>VLOOKUP(Sheet1!$D363,Customers!$A$1:$D$51,3,TRUE)</f>
        <v>Male</v>
      </c>
      <c r="H363" s="3" t="str">
        <f>VLOOKUP(Sheet1!$D363,Customers!$A$1:$D$51,4,TRUE)</f>
        <v>Pune</v>
      </c>
      <c r="I363" s="3" t="str">
        <f>VLOOKUP($C363,Products!$A$1:$E$21,2,TRUE)</f>
        <v>Laptop Sleeve</v>
      </c>
      <c r="J363" s="3" t="str">
        <f>VLOOKUP($C363,Products!$A$1:$E$21,3,TRUE)</f>
        <v>Accessories</v>
      </c>
      <c r="K363" s="4">
        <f>VLOOKUP($C363,Products!$A$1:$E$21,4,TRUE)</f>
        <v>290</v>
      </c>
      <c r="L363" s="4">
        <f>VLOOKUP($C363,Products!$A$1:$E$21,5,TRUE)</f>
        <v>470</v>
      </c>
      <c r="M363" s="4">
        <f t="shared" si="40"/>
        <v>1740</v>
      </c>
      <c r="N363" s="4">
        <f t="shared" si="41"/>
        <v>2820</v>
      </c>
      <c r="O363" s="4">
        <f t="shared" si="42"/>
        <v>1080</v>
      </c>
      <c r="P363" s="5">
        <f t="shared" si="43"/>
        <v>0.38297872340425532</v>
      </c>
      <c r="Q363" s="3" t="str">
        <f t="shared" si="44"/>
        <v>High_order</v>
      </c>
      <c r="R363" s="3" t="str">
        <f t="shared" si="45"/>
        <v>Senior</v>
      </c>
      <c r="S363" s="11" t="str">
        <f t="shared" si="46"/>
        <v>Medium_profit</v>
      </c>
      <c r="T363" s="13" t="str">
        <f t="shared" si="47"/>
        <v>May</v>
      </c>
    </row>
    <row r="364" spans="1:20" x14ac:dyDescent="0.3">
      <c r="A364" s="9">
        <v>45307</v>
      </c>
      <c r="B364" s="3">
        <v>3363</v>
      </c>
      <c r="C364" s="3">
        <v>1003</v>
      </c>
      <c r="D364" s="3">
        <v>2037</v>
      </c>
      <c r="E364" s="3">
        <v>3</v>
      </c>
      <c r="F364" s="3">
        <f>VLOOKUP(Sheet1!$D364,Customers!$A$1:$D$51,2,TRUE)</f>
        <v>38</v>
      </c>
      <c r="G364" s="3" t="str">
        <f>VLOOKUP(Sheet1!$D364,Customers!$A$1:$D$51,3,TRUE)</f>
        <v>Male</v>
      </c>
      <c r="H364" s="3" t="str">
        <f>VLOOKUP(Sheet1!$D364,Customers!$A$1:$D$51,4,TRUE)</f>
        <v>Chandigarh</v>
      </c>
      <c r="I364" s="3" t="str">
        <f>VLOOKUP($C364,Products!$A$1:$E$21,2,TRUE)</f>
        <v>Mouse</v>
      </c>
      <c r="J364" s="3" t="str">
        <f>VLOOKUP($C364,Products!$A$1:$E$21,3,TRUE)</f>
        <v>Electronics</v>
      </c>
      <c r="K364" s="4">
        <f>VLOOKUP($C364,Products!$A$1:$E$21,4,TRUE)</f>
        <v>140</v>
      </c>
      <c r="L364" s="4">
        <f>VLOOKUP($C364,Products!$A$1:$E$21,5,TRUE)</f>
        <v>350</v>
      </c>
      <c r="M364" s="4">
        <f t="shared" si="40"/>
        <v>420</v>
      </c>
      <c r="N364" s="4">
        <f t="shared" si="41"/>
        <v>1050</v>
      </c>
      <c r="O364" s="4">
        <f t="shared" si="42"/>
        <v>630</v>
      </c>
      <c r="P364" s="5">
        <f t="shared" si="43"/>
        <v>0.6</v>
      </c>
      <c r="Q364" s="3" t="str">
        <f t="shared" si="44"/>
        <v>Low_order</v>
      </c>
      <c r="R364" s="3" t="str">
        <f t="shared" si="45"/>
        <v>Middle_age</v>
      </c>
      <c r="S364" s="11" t="str">
        <f t="shared" si="46"/>
        <v>High_profit</v>
      </c>
      <c r="T364" s="13" t="str">
        <f t="shared" si="47"/>
        <v>Jan</v>
      </c>
    </row>
    <row r="365" spans="1:20" x14ac:dyDescent="0.3">
      <c r="A365" s="9">
        <v>45407</v>
      </c>
      <c r="B365" s="3">
        <v>3364</v>
      </c>
      <c r="C365" s="3">
        <v>1013</v>
      </c>
      <c r="D365" s="3">
        <v>2047</v>
      </c>
      <c r="E365" s="3">
        <v>6</v>
      </c>
      <c r="F365" s="3">
        <f>VLOOKUP(Sheet1!$D365,Customers!$A$1:$D$51,2,TRUE)</f>
        <v>28</v>
      </c>
      <c r="G365" s="3" t="str">
        <f>VLOOKUP(Sheet1!$D365,Customers!$A$1:$D$51,3,TRUE)</f>
        <v>Male</v>
      </c>
      <c r="H365" s="3" t="str">
        <f>VLOOKUP(Sheet1!$D365,Customers!$A$1:$D$51,4,TRUE)</f>
        <v>Chandigarh</v>
      </c>
      <c r="I365" s="3" t="str">
        <f>VLOOKUP($C365,Products!$A$1:$E$21,2,TRUE)</f>
        <v>Desk Lamp</v>
      </c>
      <c r="J365" s="3" t="str">
        <f>VLOOKUP($C365,Products!$A$1:$E$21,3,TRUE)</f>
        <v>Office</v>
      </c>
      <c r="K365" s="4">
        <f>VLOOKUP($C365,Products!$A$1:$E$21,4,TRUE)</f>
        <v>140</v>
      </c>
      <c r="L365" s="4">
        <f>VLOOKUP($C365,Products!$A$1:$E$21,5,TRUE)</f>
        <v>390</v>
      </c>
      <c r="M365" s="4">
        <f t="shared" si="40"/>
        <v>840</v>
      </c>
      <c r="N365" s="4">
        <f t="shared" si="41"/>
        <v>2340</v>
      </c>
      <c r="O365" s="4">
        <f t="shared" si="42"/>
        <v>1500</v>
      </c>
      <c r="P365" s="5">
        <f t="shared" si="43"/>
        <v>0.64102564102564108</v>
      </c>
      <c r="Q365" s="3" t="str">
        <f t="shared" si="44"/>
        <v>Medium_order</v>
      </c>
      <c r="R365" s="3" t="str">
        <f t="shared" si="45"/>
        <v>Young</v>
      </c>
      <c r="S365" s="11" t="str">
        <f t="shared" si="46"/>
        <v>High_profit</v>
      </c>
      <c r="T365" s="13" t="str">
        <f t="shared" si="47"/>
        <v>Apr</v>
      </c>
    </row>
    <row r="366" spans="1:20" x14ac:dyDescent="0.3">
      <c r="A366" s="9">
        <v>45333</v>
      </c>
      <c r="B366" s="3">
        <v>3365</v>
      </c>
      <c r="C366" s="3">
        <v>1008</v>
      </c>
      <c r="D366" s="3">
        <v>2022</v>
      </c>
      <c r="E366" s="3">
        <v>6</v>
      </c>
      <c r="F366" s="3">
        <f>VLOOKUP(Sheet1!$D366,Customers!$A$1:$D$51,2,TRUE)</f>
        <v>19</v>
      </c>
      <c r="G366" s="3" t="str">
        <f>VLOOKUP(Sheet1!$D366,Customers!$A$1:$D$51,3,TRUE)</f>
        <v>Male</v>
      </c>
      <c r="H366" s="3" t="str">
        <f>VLOOKUP(Sheet1!$D366,Customers!$A$1:$D$51,4,TRUE)</f>
        <v>Pune</v>
      </c>
      <c r="I366" s="3" t="str">
        <f>VLOOKUP($C366,Products!$A$1:$E$21,2,TRUE)</f>
        <v>USB Cable</v>
      </c>
      <c r="J366" s="3" t="str">
        <f>VLOOKUP($C366,Products!$A$1:$E$21,3,TRUE)</f>
        <v>Accessories</v>
      </c>
      <c r="K366" s="4">
        <f>VLOOKUP($C366,Products!$A$1:$E$21,4,TRUE)</f>
        <v>340</v>
      </c>
      <c r="L366" s="4">
        <f>VLOOKUP($C366,Products!$A$1:$E$21,5,TRUE)</f>
        <v>430</v>
      </c>
      <c r="M366" s="4">
        <f t="shared" si="40"/>
        <v>2040</v>
      </c>
      <c r="N366" s="4">
        <f t="shared" si="41"/>
        <v>2580</v>
      </c>
      <c r="O366" s="4">
        <f t="shared" si="42"/>
        <v>540</v>
      </c>
      <c r="P366" s="5">
        <f t="shared" si="43"/>
        <v>0.20930232558139536</v>
      </c>
      <c r="Q366" s="3" t="str">
        <f t="shared" si="44"/>
        <v>High_order</v>
      </c>
      <c r="R366" s="3" t="str">
        <f t="shared" si="45"/>
        <v>Young</v>
      </c>
      <c r="S366" s="11" t="str">
        <f t="shared" si="46"/>
        <v>Low_profit</v>
      </c>
      <c r="T366" s="13" t="str">
        <f t="shared" si="47"/>
        <v>Feb</v>
      </c>
    </row>
    <row r="367" spans="1:20" x14ac:dyDescent="0.3">
      <c r="A367" s="9">
        <v>45430</v>
      </c>
      <c r="B367" s="3">
        <v>3366</v>
      </c>
      <c r="C367" s="3">
        <v>1004</v>
      </c>
      <c r="D367" s="3">
        <v>2001</v>
      </c>
      <c r="E367" s="3">
        <v>4</v>
      </c>
      <c r="F367" s="3">
        <f>VLOOKUP(Sheet1!$D367,Customers!$A$1:$D$51,2,TRUE)</f>
        <v>44</v>
      </c>
      <c r="G367" s="3" t="str">
        <f>VLOOKUP(Sheet1!$D367,Customers!$A$1:$D$51,3,TRUE)</f>
        <v>Male</v>
      </c>
      <c r="H367" s="3" t="str">
        <f>VLOOKUP(Sheet1!$D367,Customers!$A$1:$D$51,4,TRUE)</f>
        <v>Delhi</v>
      </c>
      <c r="I367" s="3" t="str">
        <f>VLOOKUP($C367,Products!$A$1:$E$21,2,TRUE)</f>
        <v>Speaker</v>
      </c>
      <c r="J367" s="3" t="str">
        <f>VLOOKUP($C367,Products!$A$1:$E$21,3,TRUE)</f>
        <v>Electronics</v>
      </c>
      <c r="K367" s="4">
        <f>VLOOKUP($C367,Products!$A$1:$E$21,4,TRUE)</f>
        <v>230</v>
      </c>
      <c r="L367" s="4">
        <f>VLOOKUP($C367,Products!$A$1:$E$21,5,TRUE)</f>
        <v>440</v>
      </c>
      <c r="M367" s="4">
        <f t="shared" si="40"/>
        <v>920</v>
      </c>
      <c r="N367" s="4">
        <f t="shared" si="41"/>
        <v>1760</v>
      </c>
      <c r="O367" s="4">
        <f t="shared" si="42"/>
        <v>840</v>
      </c>
      <c r="P367" s="5">
        <f t="shared" si="43"/>
        <v>0.47727272727272729</v>
      </c>
      <c r="Q367" s="3" t="str">
        <f t="shared" si="44"/>
        <v>Medium_order</v>
      </c>
      <c r="R367" s="3" t="str">
        <f t="shared" si="45"/>
        <v>Senior</v>
      </c>
      <c r="S367" s="11" t="str">
        <f t="shared" si="46"/>
        <v>High_profit</v>
      </c>
      <c r="T367" s="13" t="str">
        <f t="shared" si="47"/>
        <v>May</v>
      </c>
    </row>
    <row r="368" spans="1:20" x14ac:dyDescent="0.3">
      <c r="A368" s="9">
        <v>45318</v>
      </c>
      <c r="B368" s="3">
        <v>3367</v>
      </c>
      <c r="C368" s="3">
        <v>1010</v>
      </c>
      <c r="D368" s="3">
        <v>2044</v>
      </c>
      <c r="E368" s="3">
        <v>2</v>
      </c>
      <c r="F368" s="3">
        <f>VLOOKUP(Sheet1!$D368,Customers!$A$1:$D$51,2,TRUE)</f>
        <v>44</v>
      </c>
      <c r="G368" s="3" t="str">
        <f>VLOOKUP(Sheet1!$D368,Customers!$A$1:$D$51,3,TRUE)</f>
        <v>Female</v>
      </c>
      <c r="H368" s="3" t="str">
        <f>VLOOKUP(Sheet1!$D368,Customers!$A$1:$D$51,4,TRUE)</f>
        <v>Mumbai</v>
      </c>
      <c r="I368" s="3" t="str">
        <f>VLOOKUP($C368,Products!$A$1:$E$21,2,TRUE)</f>
        <v>Laptop Sleeve</v>
      </c>
      <c r="J368" s="3" t="str">
        <f>VLOOKUP($C368,Products!$A$1:$E$21,3,TRUE)</f>
        <v>Accessories</v>
      </c>
      <c r="K368" s="4">
        <f>VLOOKUP($C368,Products!$A$1:$E$21,4,TRUE)</f>
        <v>290</v>
      </c>
      <c r="L368" s="4">
        <f>VLOOKUP($C368,Products!$A$1:$E$21,5,TRUE)</f>
        <v>470</v>
      </c>
      <c r="M368" s="4">
        <f t="shared" si="40"/>
        <v>580</v>
      </c>
      <c r="N368" s="4">
        <f t="shared" si="41"/>
        <v>940</v>
      </c>
      <c r="O368" s="4">
        <f t="shared" si="42"/>
        <v>360</v>
      </c>
      <c r="P368" s="5">
        <f t="shared" si="43"/>
        <v>0.38297872340425532</v>
      </c>
      <c r="Q368" s="3" t="str">
        <f t="shared" si="44"/>
        <v>Low_order</v>
      </c>
      <c r="R368" s="3" t="str">
        <f t="shared" si="45"/>
        <v>Senior</v>
      </c>
      <c r="S368" s="11" t="str">
        <f t="shared" si="46"/>
        <v>Medium_profit</v>
      </c>
      <c r="T368" s="13" t="str">
        <f t="shared" si="47"/>
        <v>Jan</v>
      </c>
    </row>
    <row r="369" spans="1:20" x14ac:dyDescent="0.3">
      <c r="A369" s="9">
        <v>45448</v>
      </c>
      <c r="B369" s="3">
        <v>3368</v>
      </c>
      <c r="C369" s="3">
        <v>1012</v>
      </c>
      <c r="D369" s="3">
        <v>2037</v>
      </c>
      <c r="E369" s="3">
        <v>5</v>
      </c>
      <c r="F369" s="3">
        <f>VLOOKUP(Sheet1!$D369,Customers!$A$1:$D$51,2,TRUE)</f>
        <v>38</v>
      </c>
      <c r="G369" s="3" t="str">
        <f>VLOOKUP(Sheet1!$D369,Customers!$A$1:$D$51,3,TRUE)</f>
        <v>Male</v>
      </c>
      <c r="H369" s="3" t="str">
        <f>VLOOKUP(Sheet1!$D369,Customers!$A$1:$D$51,4,TRUE)</f>
        <v>Chandigarh</v>
      </c>
      <c r="I369" s="3" t="str">
        <f>VLOOKUP($C369,Products!$A$1:$E$21,2,TRUE)</f>
        <v>Pen Set</v>
      </c>
      <c r="J369" s="3" t="str">
        <f>VLOOKUP($C369,Products!$A$1:$E$21,3,TRUE)</f>
        <v>Office</v>
      </c>
      <c r="K369" s="4">
        <f>VLOOKUP($C369,Products!$A$1:$E$21,4,TRUE)</f>
        <v>380</v>
      </c>
      <c r="L369" s="4">
        <f>VLOOKUP($C369,Products!$A$1:$E$21,5,TRUE)</f>
        <v>510</v>
      </c>
      <c r="M369" s="4">
        <f t="shared" si="40"/>
        <v>1900</v>
      </c>
      <c r="N369" s="4">
        <f t="shared" si="41"/>
        <v>2550</v>
      </c>
      <c r="O369" s="4">
        <f t="shared" si="42"/>
        <v>650</v>
      </c>
      <c r="P369" s="5">
        <f t="shared" si="43"/>
        <v>0.25490196078431371</v>
      </c>
      <c r="Q369" s="3" t="str">
        <f t="shared" si="44"/>
        <v>High_order</v>
      </c>
      <c r="R369" s="3" t="str">
        <f t="shared" si="45"/>
        <v>Middle_age</v>
      </c>
      <c r="S369" s="11" t="str">
        <f t="shared" si="46"/>
        <v>Low_profit</v>
      </c>
      <c r="T369" s="13" t="str">
        <f t="shared" si="47"/>
        <v>Jun</v>
      </c>
    </row>
    <row r="370" spans="1:20" x14ac:dyDescent="0.3">
      <c r="A370" s="9">
        <v>45316</v>
      </c>
      <c r="B370" s="3">
        <v>3369</v>
      </c>
      <c r="C370" s="3">
        <v>1006</v>
      </c>
      <c r="D370" s="3">
        <v>2028</v>
      </c>
      <c r="E370" s="3">
        <v>4</v>
      </c>
      <c r="F370" s="3">
        <f>VLOOKUP(Sheet1!$D370,Customers!$A$1:$D$51,2,TRUE)</f>
        <v>43</v>
      </c>
      <c r="G370" s="3" t="str">
        <f>VLOOKUP(Sheet1!$D370,Customers!$A$1:$D$51,3,TRUE)</f>
        <v>Male</v>
      </c>
      <c r="H370" s="3" t="str">
        <f>VLOOKUP(Sheet1!$D370,Customers!$A$1:$D$51,4,TRUE)</f>
        <v>Mumbai</v>
      </c>
      <c r="I370" s="3" t="str">
        <f>VLOOKUP($C370,Products!$A$1:$E$21,2,TRUE)</f>
        <v>Phone Case</v>
      </c>
      <c r="J370" s="3" t="str">
        <f>VLOOKUP($C370,Products!$A$1:$E$21,3,TRUE)</f>
        <v>Accessories</v>
      </c>
      <c r="K370" s="4">
        <f>VLOOKUP($C370,Products!$A$1:$E$21,4,TRUE)</f>
        <v>320</v>
      </c>
      <c r="L370" s="4">
        <f>VLOOKUP($C370,Products!$A$1:$E$21,5,TRUE)</f>
        <v>430</v>
      </c>
      <c r="M370" s="4">
        <f t="shared" si="40"/>
        <v>1280</v>
      </c>
      <c r="N370" s="4">
        <f t="shared" si="41"/>
        <v>1720</v>
      </c>
      <c r="O370" s="4">
        <f t="shared" si="42"/>
        <v>440</v>
      </c>
      <c r="P370" s="5">
        <f t="shared" si="43"/>
        <v>0.2558139534883721</v>
      </c>
      <c r="Q370" s="3" t="str">
        <f t="shared" si="44"/>
        <v>Medium_order</v>
      </c>
      <c r="R370" s="3" t="str">
        <f t="shared" si="45"/>
        <v>Senior</v>
      </c>
      <c r="S370" s="11" t="str">
        <f t="shared" si="46"/>
        <v>Low_profit</v>
      </c>
      <c r="T370" s="13" t="str">
        <f t="shared" si="47"/>
        <v>Jan</v>
      </c>
    </row>
    <row r="371" spans="1:20" x14ac:dyDescent="0.3">
      <c r="A371" s="9">
        <v>45551</v>
      </c>
      <c r="B371" s="3">
        <v>3370</v>
      </c>
      <c r="C371" s="3">
        <v>1009</v>
      </c>
      <c r="D371" s="3">
        <v>2032</v>
      </c>
      <c r="E371" s="3">
        <v>2</v>
      </c>
      <c r="F371" s="3">
        <f>VLOOKUP(Sheet1!$D371,Customers!$A$1:$D$51,2,TRUE)</f>
        <v>42</v>
      </c>
      <c r="G371" s="3" t="str">
        <f>VLOOKUP(Sheet1!$D371,Customers!$A$1:$D$51,3,TRUE)</f>
        <v>Male</v>
      </c>
      <c r="H371" s="3" t="str">
        <f>VLOOKUP(Sheet1!$D371,Customers!$A$1:$D$51,4,TRUE)</f>
        <v>Hyderabad</v>
      </c>
      <c r="I371" s="3" t="str">
        <f>VLOOKUP($C371,Products!$A$1:$E$21,2,TRUE)</f>
        <v>Power Bank</v>
      </c>
      <c r="J371" s="3" t="str">
        <f>VLOOKUP($C371,Products!$A$1:$E$21,3,TRUE)</f>
        <v>Accessories</v>
      </c>
      <c r="K371" s="4">
        <f>VLOOKUP($C371,Products!$A$1:$E$21,4,TRUE)</f>
        <v>50</v>
      </c>
      <c r="L371" s="4">
        <f>VLOOKUP($C371,Products!$A$1:$E$21,5,TRUE)</f>
        <v>220</v>
      </c>
      <c r="M371" s="4">
        <f t="shared" si="40"/>
        <v>100</v>
      </c>
      <c r="N371" s="4">
        <f t="shared" si="41"/>
        <v>440</v>
      </c>
      <c r="O371" s="4">
        <f t="shared" si="42"/>
        <v>340</v>
      </c>
      <c r="P371" s="5">
        <f t="shared" si="43"/>
        <v>0.77272727272727271</v>
      </c>
      <c r="Q371" s="3" t="str">
        <f t="shared" si="44"/>
        <v>Low_order</v>
      </c>
      <c r="R371" s="3" t="str">
        <f t="shared" si="45"/>
        <v>Senior</v>
      </c>
      <c r="S371" s="11" t="str">
        <f t="shared" si="46"/>
        <v>High_profit</v>
      </c>
      <c r="T371" s="13" t="str">
        <f t="shared" si="47"/>
        <v>Sep</v>
      </c>
    </row>
    <row r="372" spans="1:20" x14ac:dyDescent="0.3">
      <c r="A372" s="9">
        <v>45505</v>
      </c>
      <c r="B372" s="3">
        <v>3371</v>
      </c>
      <c r="C372" s="3">
        <v>1017</v>
      </c>
      <c r="D372" s="3">
        <v>2033</v>
      </c>
      <c r="E372" s="3">
        <v>1</v>
      </c>
      <c r="F372" s="3">
        <f>VLOOKUP(Sheet1!$D372,Customers!$A$1:$D$51,2,TRUE)</f>
        <v>43</v>
      </c>
      <c r="G372" s="3" t="str">
        <f>VLOOKUP(Sheet1!$D372,Customers!$A$1:$D$51,3,TRUE)</f>
        <v>Female</v>
      </c>
      <c r="H372" s="3" t="str">
        <f>VLOOKUP(Sheet1!$D372,Customers!$A$1:$D$51,4,TRUE)</f>
        <v>Hyderabad</v>
      </c>
      <c r="I372" s="3" t="str">
        <f>VLOOKUP($C372,Products!$A$1:$E$21,2,TRUE)</f>
        <v>Dumbbells</v>
      </c>
      <c r="J372" s="3" t="str">
        <f>VLOOKUP($C372,Products!$A$1:$E$21,3,TRUE)</f>
        <v>Fitness</v>
      </c>
      <c r="K372" s="4">
        <f>VLOOKUP($C372,Products!$A$1:$E$21,4,TRUE)</f>
        <v>120</v>
      </c>
      <c r="L372" s="4">
        <f>VLOOKUP($C372,Products!$A$1:$E$21,5,TRUE)</f>
        <v>200</v>
      </c>
      <c r="M372" s="4">
        <f t="shared" si="40"/>
        <v>120</v>
      </c>
      <c r="N372" s="4">
        <f t="shared" si="41"/>
        <v>200</v>
      </c>
      <c r="O372" s="4">
        <f t="shared" si="42"/>
        <v>80</v>
      </c>
      <c r="P372" s="5">
        <f t="shared" si="43"/>
        <v>0.4</v>
      </c>
      <c r="Q372" s="3" t="str">
        <f t="shared" si="44"/>
        <v>Low_order</v>
      </c>
      <c r="R372" s="3" t="str">
        <f t="shared" si="45"/>
        <v>Senior</v>
      </c>
      <c r="S372" s="11" t="str">
        <f t="shared" si="46"/>
        <v>Medium_profit</v>
      </c>
      <c r="T372" s="13" t="str">
        <f t="shared" si="47"/>
        <v>Aug</v>
      </c>
    </row>
    <row r="373" spans="1:20" x14ac:dyDescent="0.3">
      <c r="A373" s="9">
        <v>45342</v>
      </c>
      <c r="B373" s="3">
        <v>3372</v>
      </c>
      <c r="C373" s="3">
        <v>1020</v>
      </c>
      <c r="D373" s="3">
        <v>2012</v>
      </c>
      <c r="E373" s="3">
        <v>10</v>
      </c>
      <c r="F373" s="3">
        <f>VLOOKUP(Sheet1!$D373,Customers!$A$1:$D$51,2,TRUE)</f>
        <v>21</v>
      </c>
      <c r="G373" s="3" t="str">
        <f>VLOOKUP(Sheet1!$D373,Customers!$A$1:$D$51,3,TRUE)</f>
        <v>Female</v>
      </c>
      <c r="H373" s="3" t="str">
        <f>VLOOKUP(Sheet1!$D373,Customers!$A$1:$D$51,4,TRUE)</f>
        <v>Hyderabad</v>
      </c>
      <c r="I373" s="3" t="str">
        <f>VLOOKUP($C373,Products!$A$1:$E$21,2,TRUE)</f>
        <v>Water Bottle</v>
      </c>
      <c r="J373" s="3" t="str">
        <f>VLOOKUP($C373,Products!$A$1:$E$21,3,TRUE)</f>
        <v>Fitness</v>
      </c>
      <c r="K373" s="4">
        <f>VLOOKUP($C373,Products!$A$1:$E$21,4,TRUE)</f>
        <v>400</v>
      </c>
      <c r="L373" s="4">
        <f>VLOOKUP($C373,Products!$A$1:$E$21,5,TRUE)</f>
        <v>560</v>
      </c>
      <c r="M373" s="4">
        <f t="shared" si="40"/>
        <v>4000</v>
      </c>
      <c r="N373" s="4">
        <f t="shared" si="41"/>
        <v>5600</v>
      </c>
      <c r="O373" s="4">
        <f t="shared" si="42"/>
        <v>1600</v>
      </c>
      <c r="P373" s="5">
        <f t="shared" si="43"/>
        <v>0.2857142857142857</v>
      </c>
      <c r="Q373" s="3" t="str">
        <f t="shared" si="44"/>
        <v>High_order</v>
      </c>
      <c r="R373" s="3" t="str">
        <f t="shared" si="45"/>
        <v>Young</v>
      </c>
      <c r="S373" s="11" t="str">
        <f t="shared" si="46"/>
        <v>Low_profit</v>
      </c>
      <c r="T373" s="13" t="str">
        <f t="shared" si="47"/>
        <v>Feb</v>
      </c>
    </row>
    <row r="374" spans="1:20" x14ac:dyDescent="0.3">
      <c r="A374" s="9">
        <v>45315</v>
      </c>
      <c r="B374" s="3">
        <v>3373</v>
      </c>
      <c r="C374" s="3">
        <v>1019</v>
      </c>
      <c r="D374" s="3">
        <v>2033</v>
      </c>
      <c r="E374" s="3">
        <v>9</v>
      </c>
      <c r="F374" s="3">
        <f>VLOOKUP(Sheet1!$D374,Customers!$A$1:$D$51,2,TRUE)</f>
        <v>43</v>
      </c>
      <c r="G374" s="3" t="str">
        <f>VLOOKUP(Sheet1!$D374,Customers!$A$1:$D$51,3,TRUE)</f>
        <v>Female</v>
      </c>
      <c r="H374" s="3" t="str">
        <f>VLOOKUP(Sheet1!$D374,Customers!$A$1:$D$51,4,TRUE)</f>
        <v>Hyderabad</v>
      </c>
      <c r="I374" s="3" t="str">
        <f>VLOOKUP($C374,Products!$A$1:$E$21,2,TRUE)</f>
        <v>Skipping Rope</v>
      </c>
      <c r="J374" s="3" t="str">
        <f>VLOOKUP($C374,Products!$A$1:$E$21,3,TRUE)</f>
        <v>Fitness</v>
      </c>
      <c r="K374" s="4">
        <f>VLOOKUP($C374,Products!$A$1:$E$21,4,TRUE)</f>
        <v>140</v>
      </c>
      <c r="L374" s="4">
        <f>VLOOKUP($C374,Products!$A$1:$E$21,5,TRUE)</f>
        <v>270</v>
      </c>
      <c r="M374" s="4">
        <f t="shared" si="40"/>
        <v>1260</v>
      </c>
      <c r="N374" s="4">
        <f t="shared" si="41"/>
        <v>2430</v>
      </c>
      <c r="O374" s="4">
        <f t="shared" si="42"/>
        <v>1170</v>
      </c>
      <c r="P374" s="5">
        <f t="shared" si="43"/>
        <v>0.48148148148148145</v>
      </c>
      <c r="Q374" s="3" t="str">
        <f t="shared" si="44"/>
        <v>High_order</v>
      </c>
      <c r="R374" s="3" t="str">
        <f t="shared" si="45"/>
        <v>Senior</v>
      </c>
      <c r="S374" s="11" t="str">
        <f t="shared" si="46"/>
        <v>High_profit</v>
      </c>
      <c r="T374" s="13" t="str">
        <f t="shared" si="47"/>
        <v>Jan</v>
      </c>
    </row>
    <row r="375" spans="1:20" x14ac:dyDescent="0.3">
      <c r="A375" s="9">
        <v>45420</v>
      </c>
      <c r="B375" s="3">
        <v>3374</v>
      </c>
      <c r="C375" s="3">
        <v>1007</v>
      </c>
      <c r="D375" s="3">
        <v>2032</v>
      </c>
      <c r="E375" s="3">
        <v>7</v>
      </c>
      <c r="F375" s="3">
        <f>VLOOKUP(Sheet1!$D375,Customers!$A$1:$D$51,2,TRUE)</f>
        <v>42</v>
      </c>
      <c r="G375" s="3" t="str">
        <f>VLOOKUP(Sheet1!$D375,Customers!$A$1:$D$51,3,TRUE)</f>
        <v>Male</v>
      </c>
      <c r="H375" s="3" t="str">
        <f>VLOOKUP(Sheet1!$D375,Customers!$A$1:$D$51,4,TRUE)</f>
        <v>Hyderabad</v>
      </c>
      <c r="I375" s="3" t="str">
        <f>VLOOKUP($C375,Products!$A$1:$E$21,2,TRUE)</f>
        <v>Charger</v>
      </c>
      <c r="J375" s="3" t="str">
        <f>VLOOKUP($C375,Products!$A$1:$E$21,3,TRUE)</f>
        <v>Accessories</v>
      </c>
      <c r="K375" s="4">
        <f>VLOOKUP($C375,Products!$A$1:$E$21,4,TRUE)</f>
        <v>160</v>
      </c>
      <c r="L375" s="4">
        <f>VLOOKUP($C375,Products!$A$1:$E$21,5,TRUE)</f>
        <v>230</v>
      </c>
      <c r="M375" s="4">
        <f t="shared" si="40"/>
        <v>1120</v>
      </c>
      <c r="N375" s="4">
        <f t="shared" si="41"/>
        <v>1610</v>
      </c>
      <c r="O375" s="4">
        <f t="shared" si="42"/>
        <v>490</v>
      </c>
      <c r="P375" s="5">
        <f t="shared" si="43"/>
        <v>0.30434782608695654</v>
      </c>
      <c r="Q375" s="3" t="str">
        <f t="shared" si="44"/>
        <v>Medium_order</v>
      </c>
      <c r="R375" s="3" t="str">
        <f t="shared" si="45"/>
        <v>Senior</v>
      </c>
      <c r="S375" s="11" t="str">
        <f t="shared" si="46"/>
        <v>Low_profit</v>
      </c>
      <c r="T375" s="13" t="str">
        <f t="shared" si="47"/>
        <v>May</v>
      </c>
    </row>
    <row r="376" spans="1:20" x14ac:dyDescent="0.3">
      <c r="A376" s="9">
        <v>45538</v>
      </c>
      <c r="B376" s="3">
        <v>3375</v>
      </c>
      <c r="C376" s="3">
        <v>1017</v>
      </c>
      <c r="D376" s="3">
        <v>2001</v>
      </c>
      <c r="E376" s="3">
        <v>7</v>
      </c>
      <c r="F376" s="3">
        <f>VLOOKUP(Sheet1!$D376,Customers!$A$1:$D$51,2,TRUE)</f>
        <v>44</v>
      </c>
      <c r="G376" s="3" t="str">
        <f>VLOOKUP(Sheet1!$D376,Customers!$A$1:$D$51,3,TRUE)</f>
        <v>Male</v>
      </c>
      <c r="H376" s="3" t="str">
        <f>VLOOKUP(Sheet1!$D376,Customers!$A$1:$D$51,4,TRUE)</f>
        <v>Delhi</v>
      </c>
      <c r="I376" s="3" t="str">
        <f>VLOOKUP($C376,Products!$A$1:$E$21,2,TRUE)</f>
        <v>Dumbbells</v>
      </c>
      <c r="J376" s="3" t="str">
        <f>VLOOKUP($C376,Products!$A$1:$E$21,3,TRUE)</f>
        <v>Fitness</v>
      </c>
      <c r="K376" s="4">
        <f>VLOOKUP($C376,Products!$A$1:$E$21,4,TRUE)</f>
        <v>120</v>
      </c>
      <c r="L376" s="4">
        <f>VLOOKUP($C376,Products!$A$1:$E$21,5,TRUE)</f>
        <v>200</v>
      </c>
      <c r="M376" s="4">
        <f t="shared" si="40"/>
        <v>840</v>
      </c>
      <c r="N376" s="4">
        <f t="shared" si="41"/>
        <v>1400</v>
      </c>
      <c r="O376" s="4">
        <f t="shared" si="42"/>
        <v>560</v>
      </c>
      <c r="P376" s="5">
        <f t="shared" si="43"/>
        <v>0.4</v>
      </c>
      <c r="Q376" s="3" t="str">
        <f t="shared" si="44"/>
        <v>Medium_order</v>
      </c>
      <c r="R376" s="3" t="str">
        <f t="shared" si="45"/>
        <v>Senior</v>
      </c>
      <c r="S376" s="11" t="str">
        <f t="shared" si="46"/>
        <v>Medium_profit</v>
      </c>
      <c r="T376" s="13" t="str">
        <f t="shared" si="47"/>
        <v>Sep</v>
      </c>
    </row>
    <row r="377" spans="1:20" x14ac:dyDescent="0.3">
      <c r="A377" s="9">
        <v>45459</v>
      </c>
      <c r="B377" s="3">
        <v>3376</v>
      </c>
      <c r="C377" s="3">
        <v>1006</v>
      </c>
      <c r="D377" s="3">
        <v>2014</v>
      </c>
      <c r="E377" s="3">
        <v>1</v>
      </c>
      <c r="F377" s="3">
        <f>VLOOKUP(Sheet1!$D377,Customers!$A$1:$D$51,2,TRUE)</f>
        <v>58</v>
      </c>
      <c r="G377" s="3" t="str">
        <f>VLOOKUP(Sheet1!$D377,Customers!$A$1:$D$51,3,TRUE)</f>
        <v>Female</v>
      </c>
      <c r="H377" s="3" t="str">
        <f>VLOOKUP(Sheet1!$D377,Customers!$A$1:$D$51,4,TRUE)</f>
        <v>Chandigarh</v>
      </c>
      <c r="I377" s="3" t="str">
        <f>VLOOKUP($C377,Products!$A$1:$E$21,2,TRUE)</f>
        <v>Phone Case</v>
      </c>
      <c r="J377" s="3" t="str">
        <f>VLOOKUP($C377,Products!$A$1:$E$21,3,TRUE)</f>
        <v>Accessories</v>
      </c>
      <c r="K377" s="4">
        <f>VLOOKUP($C377,Products!$A$1:$E$21,4,TRUE)</f>
        <v>320</v>
      </c>
      <c r="L377" s="4">
        <f>VLOOKUP($C377,Products!$A$1:$E$21,5,TRUE)</f>
        <v>430</v>
      </c>
      <c r="M377" s="4">
        <f t="shared" si="40"/>
        <v>320</v>
      </c>
      <c r="N377" s="4">
        <f t="shared" si="41"/>
        <v>430</v>
      </c>
      <c r="O377" s="4">
        <f t="shared" si="42"/>
        <v>110</v>
      </c>
      <c r="P377" s="5">
        <f t="shared" si="43"/>
        <v>0.2558139534883721</v>
      </c>
      <c r="Q377" s="3" t="str">
        <f t="shared" si="44"/>
        <v>Low_order</v>
      </c>
      <c r="R377" s="3" t="str">
        <f t="shared" si="45"/>
        <v>Senior</v>
      </c>
      <c r="S377" s="11" t="str">
        <f t="shared" si="46"/>
        <v>Low_profit</v>
      </c>
      <c r="T377" s="13" t="str">
        <f t="shared" si="47"/>
        <v>Jun</v>
      </c>
    </row>
    <row r="378" spans="1:20" x14ac:dyDescent="0.3">
      <c r="A378" s="9">
        <v>45326</v>
      </c>
      <c r="B378" s="3">
        <v>3377</v>
      </c>
      <c r="C378" s="3">
        <v>1002</v>
      </c>
      <c r="D378" s="3">
        <v>2001</v>
      </c>
      <c r="E378" s="3">
        <v>7</v>
      </c>
      <c r="F378" s="3">
        <f>VLOOKUP(Sheet1!$D378,Customers!$A$1:$D$51,2,TRUE)</f>
        <v>44</v>
      </c>
      <c r="G378" s="3" t="str">
        <f>VLOOKUP(Sheet1!$D378,Customers!$A$1:$D$51,3,TRUE)</f>
        <v>Male</v>
      </c>
      <c r="H378" s="3" t="str">
        <f>VLOOKUP(Sheet1!$D378,Customers!$A$1:$D$51,4,TRUE)</f>
        <v>Delhi</v>
      </c>
      <c r="I378" s="3" t="str">
        <f>VLOOKUP($C378,Products!$A$1:$E$21,2,TRUE)</f>
        <v>Keyboard</v>
      </c>
      <c r="J378" s="3" t="str">
        <f>VLOOKUP($C378,Products!$A$1:$E$21,3,TRUE)</f>
        <v>Electronics</v>
      </c>
      <c r="K378" s="4">
        <f>VLOOKUP($C378,Products!$A$1:$E$21,4,TRUE)</f>
        <v>230</v>
      </c>
      <c r="L378" s="4">
        <f>VLOOKUP($C378,Products!$A$1:$E$21,5,TRUE)</f>
        <v>400</v>
      </c>
      <c r="M378" s="4">
        <f t="shared" si="40"/>
        <v>1610</v>
      </c>
      <c r="N378" s="4">
        <f t="shared" si="41"/>
        <v>2800</v>
      </c>
      <c r="O378" s="4">
        <f t="shared" si="42"/>
        <v>1190</v>
      </c>
      <c r="P378" s="5">
        <f t="shared" si="43"/>
        <v>0.42499999999999999</v>
      </c>
      <c r="Q378" s="3" t="str">
        <f t="shared" si="44"/>
        <v>High_order</v>
      </c>
      <c r="R378" s="3" t="str">
        <f t="shared" si="45"/>
        <v>Senior</v>
      </c>
      <c r="S378" s="11" t="str">
        <f t="shared" si="46"/>
        <v>High_profit</v>
      </c>
      <c r="T378" s="13" t="str">
        <f t="shared" si="47"/>
        <v>Feb</v>
      </c>
    </row>
    <row r="379" spans="1:20" x14ac:dyDescent="0.3">
      <c r="A379" s="9">
        <v>45517</v>
      </c>
      <c r="B379" s="3">
        <v>3378</v>
      </c>
      <c r="C379" s="3">
        <v>1002</v>
      </c>
      <c r="D379" s="3">
        <v>2022</v>
      </c>
      <c r="E379" s="3">
        <v>5</v>
      </c>
      <c r="F379" s="3">
        <f>VLOOKUP(Sheet1!$D379,Customers!$A$1:$D$51,2,TRUE)</f>
        <v>19</v>
      </c>
      <c r="G379" s="3" t="str">
        <f>VLOOKUP(Sheet1!$D379,Customers!$A$1:$D$51,3,TRUE)</f>
        <v>Male</v>
      </c>
      <c r="H379" s="3" t="str">
        <f>VLOOKUP(Sheet1!$D379,Customers!$A$1:$D$51,4,TRUE)</f>
        <v>Pune</v>
      </c>
      <c r="I379" s="3" t="str">
        <f>VLOOKUP($C379,Products!$A$1:$E$21,2,TRUE)</f>
        <v>Keyboard</v>
      </c>
      <c r="J379" s="3" t="str">
        <f>VLOOKUP($C379,Products!$A$1:$E$21,3,TRUE)</f>
        <v>Electronics</v>
      </c>
      <c r="K379" s="4">
        <f>VLOOKUP($C379,Products!$A$1:$E$21,4,TRUE)</f>
        <v>230</v>
      </c>
      <c r="L379" s="4">
        <f>VLOOKUP($C379,Products!$A$1:$E$21,5,TRUE)</f>
        <v>400</v>
      </c>
      <c r="M379" s="4">
        <f t="shared" si="40"/>
        <v>1150</v>
      </c>
      <c r="N379" s="4">
        <f t="shared" si="41"/>
        <v>2000</v>
      </c>
      <c r="O379" s="4">
        <f t="shared" si="42"/>
        <v>850</v>
      </c>
      <c r="P379" s="5">
        <f t="shared" si="43"/>
        <v>0.42499999999999999</v>
      </c>
      <c r="Q379" s="3" t="str">
        <f t="shared" si="44"/>
        <v>Medium_order</v>
      </c>
      <c r="R379" s="3" t="str">
        <f t="shared" si="45"/>
        <v>Young</v>
      </c>
      <c r="S379" s="11" t="str">
        <f t="shared" si="46"/>
        <v>High_profit</v>
      </c>
      <c r="T379" s="13" t="str">
        <f t="shared" si="47"/>
        <v>Aug</v>
      </c>
    </row>
    <row r="380" spans="1:20" x14ac:dyDescent="0.3">
      <c r="A380" s="9">
        <v>45511</v>
      </c>
      <c r="B380" s="3">
        <v>3379</v>
      </c>
      <c r="C380" s="3">
        <v>1018</v>
      </c>
      <c r="D380" s="3">
        <v>2048</v>
      </c>
      <c r="E380" s="3">
        <v>5</v>
      </c>
      <c r="F380" s="3">
        <f>VLOOKUP(Sheet1!$D380,Customers!$A$1:$D$51,2,TRUE)</f>
        <v>41</v>
      </c>
      <c r="G380" s="3" t="str">
        <f>VLOOKUP(Sheet1!$D380,Customers!$A$1:$D$51,3,TRUE)</f>
        <v>Female</v>
      </c>
      <c r="H380" s="3" t="str">
        <f>VLOOKUP(Sheet1!$D380,Customers!$A$1:$D$51,4,TRUE)</f>
        <v>Mumbai</v>
      </c>
      <c r="I380" s="3" t="str">
        <f>VLOOKUP($C380,Products!$A$1:$E$21,2,TRUE)</f>
        <v>Resistance Band</v>
      </c>
      <c r="J380" s="3" t="str">
        <f>VLOOKUP($C380,Products!$A$1:$E$21,3,TRUE)</f>
        <v>Fitness</v>
      </c>
      <c r="K380" s="4">
        <f>VLOOKUP($C380,Products!$A$1:$E$21,4,TRUE)</f>
        <v>310</v>
      </c>
      <c r="L380" s="4">
        <f>VLOOKUP($C380,Products!$A$1:$E$21,5,TRUE)</f>
        <v>480</v>
      </c>
      <c r="M380" s="4">
        <f t="shared" si="40"/>
        <v>1550</v>
      </c>
      <c r="N380" s="4">
        <f t="shared" si="41"/>
        <v>2400</v>
      </c>
      <c r="O380" s="4">
        <f t="shared" si="42"/>
        <v>850</v>
      </c>
      <c r="P380" s="5">
        <f t="shared" si="43"/>
        <v>0.35416666666666669</v>
      </c>
      <c r="Q380" s="3" t="str">
        <f t="shared" si="44"/>
        <v>Medium_order</v>
      </c>
      <c r="R380" s="3" t="str">
        <f t="shared" si="45"/>
        <v>Senior</v>
      </c>
      <c r="S380" s="11" t="str">
        <f t="shared" si="46"/>
        <v>Medium_profit</v>
      </c>
      <c r="T380" s="13" t="str">
        <f t="shared" si="47"/>
        <v>Aug</v>
      </c>
    </row>
    <row r="381" spans="1:20" x14ac:dyDescent="0.3">
      <c r="A381" s="9">
        <v>45575</v>
      </c>
      <c r="B381" s="3">
        <v>3380</v>
      </c>
      <c r="C381" s="3">
        <v>1006</v>
      </c>
      <c r="D381" s="3">
        <v>2042</v>
      </c>
      <c r="E381" s="3">
        <v>1</v>
      </c>
      <c r="F381" s="3">
        <f>VLOOKUP(Sheet1!$D381,Customers!$A$1:$D$51,2,TRUE)</f>
        <v>18</v>
      </c>
      <c r="G381" s="3" t="str">
        <f>VLOOKUP(Sheet1!$D381,Customers!$A$1:$D$51,3,TRUE)</f>
        <v>Female</v>
      </c>
      <c r="H381" s="3" t="str">
        <f>VLOOKUP(Sheet1!$D381,Customers!$A$1:$D$51,4,TRUE)</f>
        <v>Bangalore</v>
      </c>
      <c r="I381" s="3" t="str">
        <f>VLOOKUP($C381,Products!$A$1:$E$21,2,TRUE)</f>
        <v>Phone Case</v>
      </c>
      <c r="J381" s="3" t="str">
        <f>VLOOKUP($C381,Products!$A$1:$E$21,3,TRUE)</f>
        <v>Accessories</v>
      </c>
      <c r="K381" s="4">
        <f>VLOOKUP($C381,Products!$A$1:$E$21,4,TRUE)</f>
        <v>320</v>
      </c>
      <c r="L381" s="4">
        <f>VLOOKUP($C381,Products!$A$1:$E$21,5,TRUE)</f>
        <v>430</v>
      </c>
      <c r="M381" s="4">
        <f t="shared" si="40"/>
        <v>320</v>
      </c>
      <c r="N381" s="4">
        <f t="shared" si="41"/>
        <v>430</v>
      </c>
      <c r="O381" s="4">
        <f t="shared" si="42"/>
        <v>110</v>
      </c>
      <c r="P381" s="5">
        <f t="shared" si="43"/>
        <v>0.2558139534883721</v>
      </c>
      <c r="Q381" s="3" t="str">
        <f t="shared" si="44"/>
        <v>Low_order</v>
      </c>
      <c r="R381" s="3" t="str">
        <f t="shared" si="45"/>
        <v>Young</v>
      </c>
      <c r="S381" s="11" t="str">
        <f t="shared" si="46"/>
        <v>Low_profit</v>
      </c>
      <c r="T381" s="13" t="str">
        <f t="shared" si="47"/>
        <v>Oct</v>
      </c>
    </row>
    <row r="382" spans="1:20" x14ac:dyDescent="0.3">
      <c r="A382" s="9">
        <v>45318</v>
      </c>
      <c r="B382" s="3">
        <v>3381</v>
      </c>
      <c r="C382" s="3">
        <v>1015</v>
      </c>
      <c r="D382" s="3">
        <v>2020</v>
      </c>
      <c r="E382" s="3">
        <v>8</v>
      </c>
      <c r="F382" s="3">
        <f>VLOOKUP(Sheet1!$D382,Customers!$A$1:$D$51,2,TRUE)</f>
        <v>27</v>
      </c>
      <c r="G382" s="3" t="str">
        <f>VLOOKUP(Sheet1!$D382,Customers!$A$1:$D$51,3,TRUE)</f>
        <v>Male</v>
      </c>
      <c r="H382" s="3" t="str">
        <f>VLOOKUP(Sheet1!$D382,Customers!$A$1:$D$51,4,TRUE)</f>
        <v>Chandigarh</v>
      </c>
      <c r="I382" s="3" t="str">
        <f>VLOOKUP($C382,Products!$A$1:$E$21,2,TRUE)</f>
        <v>Organizer</v>
      </c>
      <c r="J382" s="3" t="str">
        <f>VLOOKUP($C382,Products!$A$1:$E$21,3,TRUE)</f>
        <v>Office</v>
      </c>
      <c r="K382" s="4">
        <f>VLOOKUP($C382,Products!$A$1:$E$21,4,TRUE)</f>
        <v>70</v>
      </c>
      <c r="L382" s="4">
        <f>VLOOKUP($C382,Products!$A$1:$E$21,5,TRUE)</f>
        <v>210</v>
      </c>
      <c r="M382" s="4">
        <f t="shared" si="40"/>
        <v>560</v>
      </c>
      <c r="N382" s="4">
        <f t="shared" si="41"/>
        <v>1680</v>
      </c>
      <c r="O382" s="4">
        <f t="shared" si="42"/>
        <v>1120</v>
      </c>
      <c r="P382" s="5">
        <f t="shared" si="43"/>
        <v>0.66666666666666663</v>
      </c>
      <c r="Q382" s="3" t="str">
        <f t="shared" si="44"/>
        <v>Medium_order</v>
      </c>
      <c r="R382" s="3" t="str">
        <f t="shared" si="45"/>
        <v>Young</v>
      </c>
      <c r="S382" s="11" t="str">
        <f t="shared" si="46"/>
        <v>High_profit</v>
      </c>
      <c r="T382" s="13" t="str">
        <f t="shared" si="47"/>
        <v>Jan</v>
      </c>
    </row>
    <row r="383" spans="1:20" x14ac:dyDescent="0.3">
      <c r="A383" s="9">
        <v>45379</v>
      </c>
      <c r="B383" s="3">
        <v>3382</v>
      </c>
      <c r="C383" s="3">
        <v>1009</v>
      </c>
      <c r="D383" s="3">
        <v>2032</v>
      </c>
      <c r="E383" s="3">
        <v>3</v>
      </c>
      <c r="F383" s="3">
        <f>VLOOKUP(Sheet1!$D383,Customers!$A$1:$D$51,2,TRUE)</f>
        <v>42</v>
      </c>
      <c r="G383" s="3" t="str">
        <f>VLOOKUP(Sheet1!$D383,Customers!$A$1:$D$51,3,TRUE)</f>
        <v>Male</v>
      </c>
      <c r="H383" s="3" t="str">
        <f>VLOOKUP(Sheet1!$D383,Customers!$A$1:$D$51,4,TRUE)</f>
        <v>Hyderabad</v>
      </c>
      <c r="I383" s="3" t="str">
        <f>VLOOKUP($C383,Products!$A$1:$E$21,2,TRUE)</f>
        <v>Power Bank</v>
      </c>
      <c r="J383" s="3" t="str">
        <f>VLOOKUP($C383,Products!$A$1:$E$21,3,TRUE)</f>
        <v>Accessories</v>
      </c>
      <c r="K383" s="4">
        <f>VLOOKUP($C383,Products!$A$1:$E$21,4,TRUE)</f>
        <v>50</v>
      </c>
      <c r="L383" s="4">
        <f>VLOOKUP($C383,Products!$A$1:$E$21,5,TRUE)</f>
        <v>220</v>
      </c>
      <c r="M383" s="4">
        <f t="shared" si="40"/>
        <v>150</v>
      </c>
      <c r="N383" s="4">
        <f t="shared" si="41"/>
        <v>660</v>
      </c>
      <c r="O383" s="4">
        <f t="shared" si="42"/>
        <v>510</v>
      </c>
      <c r="P383" s="5">
        <f t="shared" si="43"/>
        <v>0.77272727272727271</v>
      </c>
      <c r="Q383" s="3" t="str">
        <f t="shared" si="44"/>
        <v>Low_order</v>
      </c>
      <c r="R383" s="3" t="str">
        <f t="shared" si="45"/>
        <v>Senior</v>
      </c>
      <c r="S383" s="11" t="str">
        <f t="shared" si="46"/>
        <v>High_profit</v>
      </c>
      <c r="T383" s="13" t="str">
        <f t="shared" si="47"/>
        <v>Mar</v>
      </c>
    </row>
    <row r="384" spans="1:20" x14ac:dyDescent="0.3">
      <c r="A384" s="9">
        <v>45456</v>
      </c>
      <c r="B384" s="3">
        <v>3383</v>
      </c>
      <c r="C384" s="3">
        <v>1008</v>
      </c>
      <c r="D384" s="3">
        <v>2050</v>
      </c>
      <c r="E384" s="3">
        <v>2</v>
      </c>
      <c r="F384" s="3">
        <f>VLOOKUP(Sheet1!$D384,Customers!$A$1:$D$51,2,TRUE)</f>
        <v>54</v>
      </c>
      <c r="G384" s="3" t="str">
        <f>VLOOKUP(Sheet1!$D384,Customers!$A$1:$D$51,3,TRUE)</f>
        <v>Female</v>
      </c>
      <c r="H384" s="3" t="str">
        <f>VLOOKUP(Sheet1!$D384,Customers!$A$1:$D$51,4,TRUE)</f>
        <v>Delhi</v>
      </c>
      <c r="I384" s="3" t="str">
        <f>VLOOKUP($C384,Products!$A$1:$E$21,2,TRUE)</f>
        <v>USB Cable</v>
      </c>
      <c r="J384" s="3" t="str">
        <f>VLOOKUP($C384,Products!$A$1:$E$21,3,TRUE)</f>
        <v>Accessories</v>
      </c>
      <c r="K384" s="4">
        <f>VLOOKUP($C384,Products!$A$1:$E$21,4,TRUE)</f>
        <v>340</v>
      </c>
      <c r="L384" s="4">
        <f>VLOOKUP($C384,Products!$A$1:$E$21,5,TRUE)</f>
        <v>430</v>
      </c>
      <c r="M384" s="4">
        <f t="shared" si="40"/>
        <v>680</v>
      </c>
      <c r="N384" s="4">
        <f t="shared" si="41"/>
        <v>860</v>
      </c>
      <c r="O384" s="4">
        <f t="shared" si="42"/>
        <v>180</v>
      </c>
      <c r="P384" s="5">
        <f t="shared" si="43"/>
        <v>0.20930232558139536</v>
      </c>
      <c r="Q384" s="3" t="str">
        <f t="shared" si="44"/>
        <v>Low_order</v>
      </c>
      <c r="R384" s="3" t="str">
        <f t="shared" si="45"/>
        <v>Senior</v>
      </c>
      <c r="S384" s="11" t="str">
        <f t="shared" si="46"/>
        <v>Low_profit</v>
      </c>
      <c r="T384" s="13" t="str">
        <f t="shared" si="47"/>
        <v>Jun</v>
      </c>
    </row>
    <row r="385" spans="1:20" x14ac:dyDescent="0.3">
      <c r="A385" s="9">
        <v>45300</v>
      </c>
      <c r="B385" s="3">
        <v>3384</v>
      </c>
      <c r="C385" s="3">
        <v>1017</v>
      </c>
      <c r="D385" s="3">
        <v>2038</v>
      </c>
      <c r="E385" s="3">
        <v>7</v>
      </c>
      <c r="F385" s="3">
        <f>VLOOKUP(Sheet1!$D385,Customers!$A$1:$D$51,2,TRUE)</f>
        <v>22</v>
      </c>
      <c r="G385" s="3" t="str">
        <f>VLOOKUP(Sheet1!$D385,Customers!$A$1:$D$51,3,TRUE)</f>
        <v>Male</v>
      </c>
      <c r="H385" s="3" t="str">
        <f>VLOOKUP(Sheet1!$D385,Customers!$A$1:$D$51,4,TRUE)</f>
        <v>Bangalore</v>
      </c>
      <c r="I385" s="3" t="str">
        <f>VLOOKUP($C385,Products!$A$1:$E$21,2,TRUE)</f>
        <v>Dumbbells</v>
      </c>
      <c r="J385" s="3" t="str">
        <f>VLOOKUP($C385,Products!$A$1:$E$21,3,TRUE)</f>
        <v>Fitness</v>
      </c>
      <c r="K385" s="4">
        <f>VLOOKUP($C385,Products!$A$1:$E$21,4,TRUE)</f>
        <v>120</v>
      </c>
      <c r="L385" s="4">
        <f>VLOOKUP($C385,Products!$A$1:$E$21,5,TRUE)</f>
        <v>200</v>
      </c>
      <c r="M385" s="4">
        <f t="shared" si="40"/>
        <v>840</v>
      </c>
      <c r="N385" s="4">
        <f t="shared" si="41"/>
        <v>1400</v>
      </c>
      <c r="O385" s="4">
        <f t="shared" si="42"/>
        <v>560</v>
      </c>
      <c r="P385" s="5">
        <f t="shared" si="43"/>
        <v>0.4</v>
      </c>
      <c r="Q385" s="3" t="str">
        <f t="shared" si="44"/>
        <v>Medium_order</v>
      </c>
      <c r="R385" s="3" t="str">
        <f t="shared" si="45"/>
        <v>Young</v>
      </c>
      <c r="S385" s="11" t="str">
        <f t="shared" si="46"/>
        <v>Medium_profit</v>
      </c>
      <c r="T385" s="13" t="str">
        <f t="shared" si="47"/>
        <v>Jan</v>
      </c>
    </row>
    <row r="386" spans="1:20" x14ac:dyDescent="0.3">
      <c r="A386" s="9">
        <v>45352</v>
      </c>
      <c r="B386" s="3">
        <v>3385</v>
      </c>
      <c r="C386" s="3">
        <v>1014</v>
      </c>
      <c r="D386" s="3">
        <v>2042</v>
      </c>
      <c r="E386" s="3">
        <v>3</v>
      </c>
      <c r="F386" s="3">
        <f>VLOOKUP(Sheet1!$D386,Customers!$A$1:$D$51,2,TRUE)</f>
        <v>18</v>
      </c>
      <c r="G386" s="3" t="str">
        <f>VLOOKUP(Sheet1!$D386,Customers!$A$1:$D$51,3,TRUE)</f>
        <v>Female</v>
      </c>
      <c r="H386" s="3" t="str">
        <f>VLOOKUP(Sheet1!$D386,Customers!$A$1:$D$51,4,TRUE)</f>
        <v>Bangalore</v>
      </c>
      <c r="I386" s="3" t="str">
        <f>VLOOKUP($C386,Products!$A$1:$E$21,2,TRUE)</f>
        <v>Stapler</v>
      </c>
      <c r="J386" s="3" t="str">
        <f>VLOOKUP($C386,Products!$A$1:$E$21,3,TRUE)</f>
        <v>Office</v>
      </c>
      <c r="K386" s="4">
        <f>VLOOKUP($C386,Products!$A$1:$E$21,4,TRUE)</f>
        <v>170</v>
      </c>
      <c r="L386" s="4">
        <f>VLOOKUP($C386,Products!$A$1:$E$21,5,TRUE)</f>
        <v>280</v>
      </c>
      <c r="M386" s="4">
        <f t="shared" si="40"/>
        <v>510</v>
      </c>
      <c r="N386" s="4">
        <f t="shared" si="41"/>
        <v>840</v>
      </c>
      <c r="O386" s="4">
        <f t="shared" si="42"/>
        <v>330</v>
      </c>
      <c r="P386" s="5">
        <f t="shared" si="43"/>
        <v>0.39285714285714285</v>
      </c>
      <c r="Q386" s="3" t="str">
        <f t="shared" si="44"/>
        <v>Low_order</v>
      </c>
      <c r="R386" s="3" t="str">
        <f t="shared" si="45"/>
        <v>Young</v>
      </c>
      <c r="S386" s="11" t="str">
        <f t="shared" si="46"/>
        <v>Medium_profit</v>
      </c>
      <c r="T386" s="13" t="str">
        <f t="shared" si="47"/>
        <v>Mar</v>
      </c>
    </row>
    <row r="387" spans="1:20" x14ac:dyDescent="0.3">
      <c r="A387" s="9">
        <v>45488</v>
      </c>
      <c r="B387" s="3">
        <v>3386</v>
      </c>
      <c r="C387" s="3">
        <v>1006</v>
      </c>
      <c r="D387" s="3">
        <v>2022</v>
      </c>
      <c r="E387" s="3">
        <v>10</v>
      </c>
      <c r="F387" s="3">
        <f>VLOOKUP(Sheet1!$D387,Customers!$A$1:$D$51,2,TRUE)</f>
        <v>19</v>
      </c>
      <c r="G387" s="3" t="str">
        <f>VLOOKUP(Sheet1!$D387,Customers!$A$1:$D$51,3,TRUE)</f>
        <v>Male</v>
      </c>
      <c r="H387" s="3" t="str">
        <f>VLOOKUP(Sheet1!$D387,Customers!$A$1:$D$51,4,TRUE)</f>
        <v>Pune</v>
      </c>
      <c r="I387" s="3" t="str">
        <f>VLOOKUP($C387,Products!$A$1:$E$21,2,TRUE)</f>
        <v>Phone Case</v>
      </c>
      <c r="J387" s="3" t="str">
        <f>VLOOKUP($C387,Products!$A$1:$E$21,3,TRUE)</f>
        <v>Accessories</v>
      </c>
      <c r="K387" s="4">
        <f>VLOOKUP($C387,Products!$A$1:$E$21,4,TRUE)</f>
        <v>320</v>
      </c>
      <c r="L387" s="4">
        <f>VLOOKUP($C387,Products!$A$1:$E$21,5,TRUE)</f>
        <v>430</v>
      </c>
      <c r="M387" s="4">
        <f t="shared" ref="M387:M450" si="48">$K387*$E387</f>
        <v>3200</v>
      </c>
      <c r="N387" s="4">
        <f t="shared" ref="N387:N450" si="49">$L387*$E387</f>
        <v>4300</v>
      </c>
      <c r="O387" s="4">
        <f t="shared" ref="O387:O450" si="50">$N387-$M387</f>
        <v>1100</v>
      </c>
      <c r="P387" s="5">
        <f t="shared" ref="P387:P450" si="51">$O387/$N387</f>
        <v>0.2558139534883721</v>
      </c>
      <c r="Q387" s="3" t="str">
        <f t="shared" ref="Q387:Q450" si="52">IF($N387&lt;$N$508,"Low_order",IF($N387&lt;$N$509,"Medium_order","High_order"))</f>
        <v>High_order</v>
      </c>
      <c r="R387" s="3" t="str">
        <f t="shared" ref="R387:R450" si="53">IF($F387&lt;$F$508,"Young",IF($F387&lt;$F$509,"Middle_age","Senior"))</f>
        <v>Young</v>
      </c>
      <c r="S387" s="11" t="str">
        <f t="shared" ref="S387:S450" si="54">IF(P387&lt;$P$508,"Low_profit",IF(P387&lt;$P$509,"Medium_profit","High_profit"))</f>
        <v>Low_profit</v>
      </c>
      <c r="T387" s="13" t="str">
        <f t="shared" ref="T387:T450" si="55">TEXT(A387,"MMM")</f>
        <v>Jul</v>
      </c>
    </row>
    <row r="388" spans="1:20" x14ac:dyDescent="0.3">
      <c r="A388" s="9">
        <v>45390</v>
      </c>
      <c r="B388" s="3">
        <v>3387</v>
      </c>
      <c r="C388" s="3">
        <v>1010</v>
      </c>
      <c r="D388" s="3">
        <v>2028</v>
      </c>
      <c r="E388" s="3">
        <v>4</v>
      </c>
      <c r="F388" s="3">
        <f>VLOOKUP(Sheet1!$D388,Customers!$A$1:$D$51,2,TRUE)</f>
        <v>43</v>
      </c>
      <c r="G388" s="3" t="str">
        <f>VLOOKUP(Sheet1!$D388,Customers!$A$1:$D$51,3,TRUE)</f>
        <v>Male</v>
      </c>
      <c r="H388" s="3" t="str">
        <f>VLOOKUP(Sheet1!$D388,Customers!$A$1:$D$51,4,TRUE)</f>
        <v>Mumbai</v>
      </c>
      <c r="I388" s="3" t="str">
        <f>VLOOKUP($C388,Products!$A$1:$E$21,2,TRUE)</f>
        <v>Laptop Sleeve</v>
      </c>
      <c r="J388" s="3" t="str">
        <f>VLOOKUP($C388,Products!$A$1:$E$21,3,TRUE)</f>
        <v>Accessories</v>
      </c>
      <c r="K388" s="4">
        <f>VLOOKUP($C388,Products!$A$1:$E$21,4,TRUE)</f>
        <v>290</v>
      </c>
      <c r="L388" s="4">
        <f>VLOOKUP($C388,Products!$A$1:$E$21,5,TRUE)</f>
        <v>470</v>
      </c>
      <c r="M388" s="4">
        <f t="shared" si="48"/>
        <v>1160</v>
      </c>
      <c r="N388" s="4">
        <f t="shared" si="49"/>
        <v>1880</v>
      </c>
      <c r="O388" s="4">
        <f t="shared" si="50"/>
        <v>720</v>
      </c>
      <c r="P388" s="5">
        <f t="shared" si="51"/>
        <v>0.38297872340425532</v>
      </c>
      <c r="Q388" s="3" t="str">
        <f t="shared" si="52"/>
        <v>Medium_order</v>
      </c>
      <c r="R388" s="3" t="str">
        <f t="shared" si="53"/>
        <v>Senior</v>
      </c>
      <c r="S388" s="11" t="str">
        <f t="shared" si="54"/>
        <v>Medium_profit</v>
      </c>
      <c r="T388" s="13" t="str">
        <f t="shared" si="55"/>
        <v>Apr</v>
      </c>
    </row>
    <row r="389" spans="1:20" x14ac:dyDescent="0.3">
      <c r="A389" s="9">
        <v>45328</v>
      </c>
      <c r="B389" s="3">
        <v>3388</v>
      </c>
      <c r="C389" s="3">
        <v>1011</v>
      </c>
      <c r="D389" s="3">
        <v>2020</v>
      </c>
      <c r="E389" s="3">
        <v>9</v>
      </c>
      <c r="F389" s="3">
        <f>VLOOKUP(Sheet1!$D389,Customers!$A$1:$D$51,2,TRUE)</f>
        <v>27</v>
      </c>
      <c r="G389" s="3" t="str">
        <f>VLOOKUP(Sheet1!$D389,Customers!$A$1:$D$51,3,TRUE)</f>
        <v>Male</v>
      </c>
      <c r="H389" s="3" t="str">
        <f>VLOOKUP(Sheet1!$D389,Customers!$A$1:$D$51,4,TRUE)</f>
        <v>Chandigarh</v>
      </c>
      <c r="I389" s="3" t="str">
        <f>VLOOKUP($C389,Products!$A$1:$E$21,2,TRUE)</f>
        <v>Notebook</v>
      </c>
      <c r="J389" s="3" t="str">
        <f>VLOOKUP($C389,Products!$A$1:$E$21,3,TRUE)</f>
        <v>Office</v>
      </c>
      <c r="K389" s="4">
        <f>VLOOKUP($C389,Products!$A$1:$E$21,4,TRUE)</f>
        <v>120</v>
      </c>
      <c r="L389" s="4">
        <f>VLOOKUP($C389,Products!$A$1:$E$21,5,TRUE)</f>
        <v>180</v>
      </c>
      <c r="M389" s="4">
        <f t="shared" si="48"/>
        <v>1080</v>
      </c>
      <c r="N389" s="4">
        <f t="shared" si="49"/>
        <v>1620</v>
      </c>
      <c r="O389" s="4">
        <f t="shared" si="50"/>
        <v>540</v>
      </c>
      <c r="P389" s="5">
        <f t="shared" si="51"/>
        <v>0.33333333333333331</v>
      </c>
      <c r="Q389" s="3" t="str">
        <f t="shared" si="52"/>
        <v>Medium_order</v>
      </c>
      <c r="R389" s="3" t="str">
        <f t="shared" si="53"/>
        <v>Young</v>
      </c>
      <c r="S389" s="11" t="str">
        <f t="shared" si="54"/>
        <v>Medium_profit</v>
      </c>
      <c r="T389" s="13" t="str">
        <f t="shared" si="55"/>
        <v>Feb</v>
      </c>
    </row>
    <row r="390" spans="1:20" x14ac:dyDescent="0.3">
      <c r="A390" s="9">
        <v>45552</v>
      </c>
      <c r="B390" s="3">
        <v>3389</v>
      </c>
      <c r="C390" s="3">
        <v>1012</v>
      </c>
      <c r="D390" s="3">
        <v>2012</v>
      </c>
      <c r="E390" s="3">
        <v>9</v>
      </c>
      <c r="F390" s="3">
        <f>VLOOKUP(Sheet1!$D390,Customers!$A$1:$D$51,2,TRUE)</f>
        <v>21</v>
      </c>
      <c r="G390" s="3" t="str">
        <f>VLOOKUP(Sheet1!$D390,Customers!$A$1:$D$51,3,TRUE)</f>
        <v>Female</v>
      </c>
      <c r="H390" s="3" t="str">
        <f>VLOOKUP(Sheet1!$D390,Customers!$A$1:$D$51,4,TRUE)</f>
        <v>Hyderabad</v>
      </c>
      <c r="I390" s="3" t="str">
        <f>VLOOKUP($C390,Products!$A$1:$E$21,2,TRUE)</f>
        <v>Pen Set</v>
      </c>
      <c r="J390" s="3" t="str">
        <f>VLOOKUP($C390,Products!$A$1:$E$21,3,TRUE)</f>
        <v>Office</v>
      </c>
      <c r="K390" s="4">
        <f>VLOOKUP($C390,Products!$A$1:$E$21,4,TRUE)</f>
        <v>380</v>
      </c>
      <c r="L390" s="4">
        <f>VLOOKUP($C390,Products!$A$1:$E$21,5,TRUE)</f>
        <v>510</v>
      </c>
      <c r="M390" s="4">
        <f t="shared" si="48"/>
        <v>3420</v>
      </c>
      <c r="N390" s="4">
        <f t="shared" si="49"/>
        <v>4590</v>
      </c>
      <c r="O390" s="4">
        <f t="shared" si="50"/>
        <v>1170</v>
      </c>
      <c r="P390" s="5">
        <f t="shared" si="51"/>
        <v>0.25490196078431371</v>
      </c>
      <c r="Q390" s="3" t="str">
        <f t="shared" si="52"/>
        <v>High_order</v>
      </c>
      <c r="R390" s="3" t="str">
        <f t="shared" si="53"/>
        <v>Young</v>
      </c>
      <c r="S390" s="11" t="str">
        <f t="shared" si="54"/>
        <v>Low_profit</v>
      </c>
      <c r="T390" s="13" t="str">
        <f t="shared" si="55"/>
        <v>Sep</v>
      </c>
    </row>
    <row r="391" spans="1:20" x14ac:dyDescent="0.3">
      <c r="A391" s="9">
        <v>45587</v>
      </c>
      <c r="B391" s="3">
        <v>3390</v>
      </c>
      <c r="C391" s="3">
        <v>1014</v>
      </c>
      <c r="D391" s="3">
        <v>2011</v>
      </c>
      <c r="E391" s="3">
        <v>6</v>
      </c>
      <c r="F391" s="3">
        <f>VLOOKUP(Sheet1!$D391,Customers!$A$1:$D$51,2,TRUE)</f>
        <v>33</v>
      </c>
      <c r="G391" s="3" t="str">
        <f>VLOOKUP(Sheet1!$D391,Customers!$A$1:$D$51,3,TRUE)</f>
        <v>Female</v>
      </c>
      <c r="H391" s="3" t="str">
        <f>VLOOKUP(Sheet1!$D391,Customers!$A$1:$D$51,4,TRUE)</f>
        <v>Chandigarh</v>
      </c>
      <c r="I391" s="3" t="str">
        <f>VLOOKUP($C391,Products!$A$1:$E$21,2,TRUE)</f>
        <v>Stapler</v>
      </c>
      <c r="J391" s="3" t="str">
        <f>VLOOKUP($C391,Products!$A$1:$E$21,3,TRUE)</f>
        <v>Office</v>
      </c>
      <c r="K391" s="4">
        <f>VLOOKUP($C391,Products!$A$1:$E$21,4,TRUE)</f>
        <v>170</v>
      </c>
      <c r="L391" s="4">
        <f>VLOOKUP($C391,Products!$A$1:$E$21,5,TRUE)</f>
        <v>280</v>
      </c>
      <c r="M391" s="4">
        <f t="shared" si="48"/>
        <v>1020</v>
      </c>
      <c r="N391" s="4">
        <f t="shared" si="49"/>
        <v>1680</v>
      </c>
      <c r="O391" s="4">
        <f t="shared" si="50"/>
        <v>660</v>
      </c>
      <c r="P391" s="5">
        <f t="shared" si="51"/>
        <v>0.39285714285714285</v>
      </c>
      <c r="Q391" s="3" t="str">
        <f t="shared" si="52"/>
        <v>Medium_order</v>
      </c>
      <c r="R391" s="3" t="str">
        <f t="shared" si="53"/>
        <v>Middle_age</v>
      </c>
      <c r="S391" s="11" t="str">
        <f t="shared" si="54"/>
        <v>Medium_profit</v>
      </c>
      <c r="T391" s="13" t="str">
        <f t="shared" si="55"/>
        <v>Oct</v>
      </c>
    </row>
    <row r="392" spans="1:20" x14ac:dyDescent="0.3">
      <c r="A392" s="9">
        <v>45654</v>
      </c>
      <c r="B392" s="3">
        <v>3391</v>
      </c>
      <c r="C392" s="3">
        <v>1018</v>
      </c>
      <c r="D392" s="3">
        <v>2025</v>
      </c>
      <c r="E392" s="3">
        <v>4</v>
      </c>
      <c r="F392" s="3">
        <f>VLOOKUP(Sheet1!$D392,Customers!$A$1:$D$51,2,TRUE)</f>
        <v>34</v>
      </c>
      <c r="G392" s="3" t="str">
        <f>VLOOKUP(Sheet1!$D392,Customers!$A$1:$D$51,3,TRUE)</f>
        <v>Male</v>
      </c>
      <c r="H392" s="3" t="str">
        <f>VLOOKUP(Sheet1!$D392,Customers!$A$1:$D$51,4,TRUE)</f>
        <v>Delhi</v>
      </c>
      <c r="I392" s="3" t="str">
        <f>VLOOKUP($C392,Products!$A$1:$E$21,2,TRUE)</f>
        <v>Resistance Band</v>
      </c>
      <c r="J392" s="3" t="str">
        <f>VLOOKUP($C392,Products!$A$1:$E$21,3,TRUE)</f>
        <v>Fitness</v>
      </c>
      <c r="K392" s="4">
        <f>VLOOKUP($C392,Products!$A$1:$E$21,4,TRUE)</f>
        <v>310</v>
      </c>
      <c r="L392" s="4">
        <f>VLOOKUP($C392,Products!$A$1:$E$21,5,TRUE)</f>
        <v>480</v>
      </c>
      <c r="M392" s="4">
        <f t="shared" si="48"/>
        <v>1240</v>
      </c>
      <c r="N392" s="4">
        <f t="shared" si="49"/>
        <v>1920</v>
      </c>
      <c r="O392" s="4">
        <f t="shared" si="50"/>
        <v>680</v>
      </c>
      <c r="P392" s="5">
        <f t="shared" si="51"/>
        <v>0.35416666666666669</v>
      </c>
      <c r="Q392" s="3" t="str">
        <f t="shared" si="52"/>
        <v>Medium_order</v>
      </c>
      <c r="R392" s="3" t="str">
        <f t="shared" si="53"/>
        <v>Middle_age</v>
      </c>
      <c r="S392" s="11" t="str">
        <f t="shared" si="54"/>
        <v>Medium_profit</v>
      </c>
      <c r="T392" s="13" t="str">
        <f t="shared" si="55"/>
        <v>Dec</v>
      </c>
    </row>
    <row r="393" spans="1:20" x14ac:dyDescent="0.3">
      <c r="A393" s="9">
        <v>45523</v>
      </c>
      <c r="B393" s="3">
        <v>3392</v>
      </c>
      <c r="C393" s="3">
        <v>1008</v>
      </c>
      <c r="D393" s="3">
        <v>2033</v>
      </c>
      <c r="E393" s="3">
        <v>4</v>
      </c>
      <c r="F393" s="3">
        <f>VLOOKUP(Sheet1!$D393,Customers!$A$1:$D$51,2,TRUE)</f>
        <v>43</v>
      </c>
      <c r="G393" s="3" t="str">
        <f>VLOOKUP(Sheet1!$D393,Customers!$A$1:$D$51,3,TRUE)</f>
        <v>Female</v>
      </c>
      <c r="H393" s="3" t="str">
        <f>VLOOKUP(Sheet1!$D393,Customers!$A$1:$D$51,4,TRUE)</f>
        <v>Hyderabad</v>
      </c>
      <c r="I393" s="3" t="str">
        <f>VLOOKUP($C393,Products!$A$1:$E$21,2,TRUE)</f>
        <v>USB Cable</v>
      </c>
      <c r="J393" s="3" t="str">
        <f>VLOOKUP($C393,Products!$A$1:$E$21,3,TRUE)</f>
        <v>Accessories</v>
      </c>
      <c r="K393" s="4">
        <f>VLOOKUP($C393,Products!$A$1:$E$21,4,TRUE)</f>
        <v>340</v>
      </c>
      <c r="L393" s="4">
        <f>VLOOKUP($C393,Products!$A$1:$E$21,5,TRUE)</f>
        <v>430</v>
      </c>
      <c r="M393" s="4">
        <f t="shared" si="48"/>
        <v>1360</v>
      </c>
      <c r="N393" s="4">
        <f t="shared" si="49"/>
        <v>1720</v>
      </c>
      <c r="O393" s="4">
        <f t="shared" si="50"/>
        <v>360</v>
      </c>
      <c r="P393" s="5">
        <f t="shared" si="51"/>
        <v>0.20930232558139536</v>
      </c>
      <c r="Q393" s="3" t="str">
        <f t="shared" si="52"/>
        <v>Medium_order</v>
      </c>
      <c r="R393" s="3" t="str">
        <f t="shared" si="53"/>
        <v>Senior</v>
      </c>
      <c r="S393" s="11" t="str">
        <f t="shared" si="54"/>
        <v>Low_profit</v>
      </c>
      <c r="T393" s="13" t="str">
        <f t="shared" si="55"/>
        <v>Aug</v>
      </c>
    </row>
    <row r="394" spans="1:20" x14ac:dyDescent="0.3">
      <c r="A394" s="9">
        <v>45628</v>
      </c>
      <c r="B394" s="3">
        <v>3393</v>
      </c>
      <c r="C394" s="3">
        <v>1001</v>
      </c>
      <c r="D394" s="3">
        <v>2015</v>
      </c>
      <c r="E394" s="3">
        <v>6</v>
      </c>
      <c r="F394" s="3">
        <f>VLOOKUP(Sheet1!$D394,Customers!$A$1:$D$51,2,TRUE)</f>
        <v>40</v>
      </c>
      <c r="G394" s="3" t="str">
        <f>VLOOKUP(Sheet1!$D394,Customers!$A$1:$D$51,3,TRUE)</f>
        <v>Male</v>
      </c>
      <c r="H394" s="3" t="str">
        <f>VLOOKUP(Sheet1!$D394,Customers!$A$1:$D$51,4,TRUE)</f>
        <v>Delhi</v>
      </c>
      <c r="I394" s="3" t="str">
        <f>VLOOKUP($C394,Products!$A$1:$E$21,2,TRUE)</f>
        <v>Headphones</v>
      </c>
      <c r="J394" s="3" t="str">
        <f>VLOOKUP($C394,Products!$A$1:$E$21,3,TRUE)</f>
        <v>Electronics</v>
      </c>
      <c r="K394" s="4">
        <f>VLOOKUP($C394,Products!$A$1:$E$21,4,TRUE)</f>
        <v>380</v>
      </c>
      <c r="L394" s="4">
        <f>VLOOKUP($C394,Products!$A$1:$E$21,5,TRUE)</f>
        <v>550</v>
      </c>
      <c r="M394" s="4">
        <f t="shared" si="48"/>
        <v>2280</v>
      </c>
      <c r="N394" s="4">
        <f t="shared" si="49"/>
        <v>3300</v>
      </c>
      <c r="O394" s="4">
        <f t="shared" si="50"/>
        <v>1020</v>
      </c>
      <c r="P394" s="5">
        <f t="shared" si="51"/>
        <v>0.30909090909090908</v>
      </c>
      <c r="Q394" s="3" t="str">
        <f t="shared" si="52"/>
        <v>High_order</v>
      </c>
      <c r="R394" s="3" t="str">
        <f t="shared" si="53"/>
        <v>Middle_age</v>
      </c>
      <c r="S394" s="11" t="str">
        <f t="shared" si="54"/>
        <v>Low_profit</v>
      </c>
      <c r="T394" s="13" t="str">
        <f t="shared" si="55"/>
        <v>Dec</v>
      </c>
    </row>
    <row r="395" spans="1:20" x14ac:dyDescent="0.3">
      <c r="A395" s="9">
        <v>45447</v>
      </c>
      <c r="B395" s="3">
        <v>3394</v>
      </c>
      <c r="C395" s="3">
        <v>1009</v>
      </c>
      <c r="D395" s="3">
        <v>2043</v>
      </c>
      <c r="E395" s="3">
        <v>1</v>
      </c>
      <c r="F395" s="3">
        <f>VLOOKUP(Sheet1!$D395,Customers!$A$1:$D$51,2,TRUE)</f>
        <v>44</v>
      </c>
      <c r="G395" s="3" t="str">
        <f>VLOOKUP(Sheet1!$D395,Customers!$A$1:$D$51,3,TRUE)</f>
        <v>Male</v>
      </c>
      <c r="H395" s="3" t="str">
        <f>VLOOKUP(Sheet1!$D395,Customers!$A$1:$D$51,4,TRUE)</f>
        <v>Delhi</v>
      </c>
      <c r="I395" s="3" t="str">
        <f>VLOOKUP($C395,Products!$A$1:$E$21,2,TRUE)</f>
        <v>Power Bank</v>
      </c>
      <c r="J395" s="3" t="str">
        <f>VLOOKUP($C395,Products!$A$1:$E$21,3,TRUE)</f>
        <v>Accessories</v>
      </c>
      <c r="K395" s="4">
        <f>VLOOKUP($C395,Products!$A$1:$E$21,4,TRUE)</f>
        <v>50</v>
      </c>
      <c r="L395" s="4">
        <f>VLOOKUP($C395,Products!$A$1:$E$21,5,TRUE)</f>
        <v>220</v>
      </c>
      <c r="M395" s="4">
        <f t="shared" si="48"/>
        <v>50</v>
      </c>
      <c r="N395" s="4">
        <f t="shared" si="49"/>
        <v>220</v>
      </c>
      <c r="O395" s="4">
        <f t="shared" si="50"/>
        <v>170</v>
      </c>
      <c r="P395" s="5">
        <f t="shared" si="51"/>
        <v>0.77272727272727271</v>
      </c>
      <c r="Q395" s="3" t="str">
        <f t="shared" si="52"/>
        <v>Low_order</v>
      </c>
      <c r="R395" s="3" t="str">
        <f t="shared" si="53"/>
        <v>Senior</v>
      </c>
      <c r="S395" s="11" t="str">
        <f t="shared" si="54"/>
        <v>High_profit</v>
      </c>
      <c r="T395" s="13" t="str">
        <f t="shared" si="55"/>
        <v>Jun</v>
      </c>
    </row>
    <row r="396" spans="1:20" x14ac:dyDescent="0.3">
      <c r="A396" s="9">
        <v>45480</v>
      </c>
      <c r="B396" s="3">
        <v>3395</v>
      </c>
      <c r="C396" s="3">
        <v>1009</v>
      </c>
      <c r="D396" s="3">
        <v>2042</v>
      </c>
      <c r="E396" s="3">
        <v>10</v>
      </c>
      <c r="F396" s="3">
        <f>VLOOKUP(Sheet1!$D396,Customers!$A$1:$D$51,2,TRUE)</f>
        <v>18</v>
      </c>
      <c r="G396" s="3" t="str">
        <f>VLOOKUP(Sheet1!$D396,Customers!$A$1:$D$51,3,TRUE)</f>
        <v>Female</v>
      </c>
      <c r="H396" s="3" t="str">
        <f>VLOOKUP(Sheet1!$D396,Customers!$A$1:$D$51,4,TRUE)</f>
        <v>Bangalore</v>
      </c>
      <c r="I396" s="3" t="str">
        <f>VLOOKUP($C396,Products!$A$1:$E$21,2,TRUE)</f>
        <v>Power Bank</v>
      </c>
      <c r="J396" s="3" t="str">
        <f>VLOOKUP($C396,Products!$A$1:$E$21,3,TRUE)</f>
        <v>Accessories</v>
      </c>
      <c r="K396" s="4">
        <f>VLOOKUP($C396,Products!$A$1:$E$21,4,TRUE)</f>
        <v>50</v>
      </c>
      <c r="L396" s="4">
        <f>VLOOKUP($C396,Products!$A$1:$E$21,5,TRUE)</f>
        <v>220</v>
      </c>
      <c r="M396" s="4">
        <f t="shared" si="48"/>
        <v>500</v>
      </c>
      <c r="N396" s="4">
        <f t="shared" si="49"/>
        <v>2200</v>
      </c>
      <c r="O396" s="4">
        <f t="shared" si="50"/>
        <v>1700</v>
      </c>
      <c r="P396" s="5">
        <f t="shared" si="51"/>
        <v>0.77272727272727271</v>
      </c>
      <c r="Q396" s="3" t="str">
        <f t="shared" si="52"/>
        <v>Medium_order</v>
      </c>
      <c r="R396" s="3" t="str">
        <f t="shared" si="53"/>
        <v>Young</v>
      </c>
      <c r="S396" s="11" t="str">
        <f t="shared" si="54"/>
        <v>High_profit</v>
      </c>
      <c r="T396" s="13" t="str">
        <f t="shared" si="55"/>
        <v>Jul</v>
      </c>
    </row>
    <row r="397" spans="1:20" x14ac:dyDescent="0.3">
      <c r="A397" s="9">
        <v>45646</v>
      </c>
      <c r="B397" s="3">
        <v>3396</v>
      </c>
      <c r="C397" s="3">
        <v>1014</v>
      </c>
      <c r="D397" s="3">
        <v>2011</v>
      </c>
      <c r="E397" s="3">
        <v>4</v>
      </c>
      <c r="F397" s="3">
        <f>VLOOKUP(Sheet1!$D397,Customers!$A$1:$D$51,2,TRUE)</f>
        <v>33</v>
      </c>
      <c r="G397" s="3" t="str">
        <f>VLOOKUP(Sheet1!$D397,Customers!$A$1:$D$51,3,TRUE)</f>
        <v>Female</v>
      </c>
      <c r="H397" s="3" t="str">
        <f>VLOOKUP(Sheet1!$D397,Customers!$A$1:$D$51,4,TRUE)</f>
        <v>Chandigarh</v>
      </c>
      <c r="I397" s="3" t="str">
        <f>VLOOKUP($C397,Products!$A$1:$E$21,2,TRUE)</f>
        <v>Stapler</v>
      </c>
      <c r="J397" s="3" t="str">
        <f>VLOOKUP($C397,Products!$A$1:$E$21,3,TRUE)</f>
        <v>Office</v>
      </c>
      <c r="K397" s="4">
        <f>VLOOKUP($C397,Products!$A$1:$E$21,4,TRUE)</f>
        <v>170</v>
      </c>
      <c r="L397" s="4">
        <f>VLOOKUP($C397,Products!$A$1:$E$21,5,TRUE)</f>
        <v>280</v>
      </c>
      <c r="M397" s="4">
        <f t="shared" si="48"/>
        <v>680</v>
      </c>
      <c r="N397" s="4">
        <f t="shared" si="49"/>
        <v>1120</v>
      </c>
      <c r="O397" s="4">
        <f t="shared" si="50"/>
        <v>440</v>
      </c>
      <c r="P397" s="5">
        <f t="shared" si="51"/>
        <v>0.39285714285714285</v>
      </c>
      <c r="Q397" s="3" t="str">
        <f t="shared" si="52"/>
        <v>Low_order</v>
      </c>
      <c r="R397" s="3" t="str">
        <f t="shared" si="53"/>
        <v>Middle_age</v>
      </c>
      <c r="S397" s="11" t="str">
        <f t="shared" si="54"/>
        <v>Medium_profit</v>
      </c>
      <c r="T397" s="13" t="str">
        <f t="shared" si="55"/>
        <v>Dec</v>
      </c>
    </row>
    <row r="398" spans="1:20" x14ac:dyDescent="0.3">
      <c r="A398" s="9">
        <v>45385</v>
      </c>
      <c r="B398" s="3">
        <v>3397</v>
      </c>
      <c r="C398" s="3">
        <v>1013</v>
      </c>
      <c r="D398" s="3">
        <v>2007</v>
      </c>
      <c r="E398" s="3">
        <v>8</v>
      </c>
      <c r="F398" s="3">
        <f>VLOOKUP(Sheet1!$D398,Customers!$A$1:$D$51,2,TRUE)</f>
        <v>34</v>
      </c>
      <c r="G398" s="3" t="str">
        <f>VLOOKUP(Sheet1!$D398,Customers!$A$1:$D$51,3,TRUE)</f>
        <v>Male</v>
      </c>
      <c r="H398" s="3" t="str">
        <f>VLOOKUP(Sheet1!$D398,Customers!$A$1:$D$51,4,TRUE)</f>
        <v>Bangalore</v>
      </c>
      <c r="I398" s="3" t="str">
        <f>VLOOKUP($C398,Products!$A$1:$E$21,2,TRUE)</f>
        <v>Desk Lamp</v>
      </c>
      <c r="J398" s="3" t="str">
        <f>VLOOKUP($C398,Products!$A$1:$E$21,3,TRUE)</f>
        <v>Office</v>
      </c>
      <c r="K398" s="4">
        <f>VLOOKUP($C398,Products!$A$1:$E$21,4,TRUE)</f>
        <v>140</v>
      </c>
      <c r="L398" s="4">
        <f>VLOOKUP($C398,Products!$A$1:$E$21,5,TRUE)</f>
        <v>390</v>
      </c>
      <c r="M398" s="4">
        <f t="shared" si="48"/>
        <v>1120</v>
      </c>
      <c r="N398" s="4">
        <f t="shared" si="49"/>
        <v>3120</v>
      </c>
      <c r="O398" s="4">
        <f t="shared" si="50"/>
        <v>2000</v>
      </c>
      <c r="P398" s="5">
        <f t="shared" si="51"/>
        <v>0.64102564102564108</v>
      </c>
      <c r="Q398" s="3" t="str">
        <f t="shared" si="52"/>
        <v>High_order</v>
      </c>
      <c r="R398" s="3" t="str">
        <f t="shared" si="53"/>
        <v>Middle_age</v>
      </c>
      <c r="S398" s="11" t="str">
        <f t="shared" si="54"/>
        <v>High_profit</v>
      </c>
      <c r="T398" s="13" t="str">
        <f t="shared" si="55"/>
        <v>Apr</v>
      </c>
    </row>
    <row r="399" spans="1:20" x14ac:dyDescent="0.3">
      <c r="A399" s="9">
        <v>45386</v>
      </c>
      <c r="B399" s="3">
        <v>3398</v>
      </c>
      <c r="C399" s="3">
        <v>1004</v>
      </c>
      <c r="D399" s="3">
        <v>2050</v>
      </c>
      <c r="E399" s="3">
        <v>7</v>
      </c>
      <c r="F399" s="3">
        <f>VLOOKUP(Sheet1!$D399,Customers!$A$1:$D$51,2,TRUE)</f>
        <v>54</v>
      </c>
      <c r="G399" s="3" t="str">
        <f>VLOOKUP(Sheet1!$D399,Customers!$A$1:$D$51,3,TRUE)</f>
        <v>Female</v>
      </c>
      <c r="H399" s="3" t="str">
        <f>VLOOKUP(Sheet1!$D399,Customers!$A$1:$D$51,4,TRUE)</f>
        <v>Delhi</v>
      </c>
      <c r="I399" s="3" t="str">
        <f>VLOOKUP($C399,Products!$A$1:$E$21,2,TRUE)</f>
        <v>Speaker</v>
      </c>
      <c r="J399" s="3" t="str">
        <f>VLOOKUP($C399,Products!$A$1:$E$21,3,TRUE)</f>
        <v>Electronics</v>
      </c>
      <c r="K399" s="4">
        <f>VLOOKUP($C399,Products!$A$1:$E$21,4,TRUE)</f>
        <v>230</v>
      </c>
      <c r="L399" s="4">
        <f>VLOOKUP($C399,Products!$A$1:$E$21,5,TRUE)</f>
        <v>440</v>
      </c>
      <c r="M399" s="4">
        <f t="shared" si="48"/>
        <v>1610</v>
      </c>
      <c r="N399" s="4">
        <f t="shared" si="49"/>
        <v>3080</v>
      </c>
      <c r="O399" s="4">
        <f t="shared" si="50"/>
        <v>1470</v>
      </c>
      <c r="P399" s="5">
        <f t="shared" si="51"/>
        <v>0.47727272727272729</v>
      </c>
      <c r="Q399" s="3" t="str">
        <f t="shared" si="52"/>
        <v>High_order</v>
      </c>
      <c r="R399" s="3" t="str">
        <f t="shared" si="53"/>
        <v>Senior</v>
      </c>
      <c r="S399" s="11" t="str">
        <f t="shared" si="54"/>
        <v>High_profit</v>
      </c>
      <c r="T399" s="13" t="str">
        <f t="shared" si="55"/>
        <v>Apr</v>
      </c>
    </row>
    <row r="400" spans="1:20" x14ac:dyDescent="0.3">
      <c r="A400" s="9">
        <v>45433</v>
      </c>
      <c r="B400" s="3">
        <v>3399</v>
      </c>
      <c r="C400" s="3">
        <v>1019</v>
      </c>
      <c r="D400" s="3">
        <v>2011</v>
      </c>
      <c r="E400" s="3">
        <v>6</v>
      </c>
      <c r="F400" s="3">
        <f>VLOOKUP(Sheet1!$D400,Customers!$A$1:$D$51,2,TRUE)</f>
        <v>33</v>
      </c>
      <c r="G400" s="3" t="str">
        <f>VLOOKUP(Sheet1!$D400,Customers!$A$1:$D$51,3,TRUE)</f>
        <v>Female</v>
      </c>
      <c r="H400" s="3" t="str">
        <f>VLOOKUP(Sheet1!$D400,Customers!$A$1:$D$51,4,TRUE)</f>
        <v>Chandigarh</v>
      </c>
      <c r="I400" s="3" t="str">
        <f>VLOOKUP($C400,Products!$A$1:$E$21,2,TRUE)</f>
        <v>Skipping Rope</v>
      </c>
      <c r="J400" s="3" t="str">
        <f>VLOOKUP($C400,Products!$A$1:$E$21,3,TRUE)</f>
        <v>Fitness</v>
      </c>
      <c r="K400" s="4">
        <f>VLOOKUP($C400,Products!$A$1:$E$21,4,TRUE)</f>
        <v>140</v>
      </c>
      <c r="L400" s="4">
        <f>VLOOKUP($C400,Products!$A$1:$E$21,5,TRUE)</f>
        <v>270</v>
      </c>
      <c r="M400" s="4">
        <f t="shared" si="48"/>
        <v>840</v>
      </c>
      <c r="N400" s="4">
        <f t="shared" si="49"/>
        <v>1620</v>
      </c>
      <c r="O400" s="4">
        <f t="shared" si="50"/>
        <v>780</v>
      </c>
      <c r="P400" s="5">
        <f t="shared" si="51"/>
        <v>0.48148148148148145</v>
      </c>
      <c r="Q400" s="3" t="str">
        <f t="shared" si="52"/>
        <v>Medium_order</v>
      </c>
      <c r="R400" s="3" t="str">
        <f t="shared" si="53"/>
        <v>Middle_age</v>
      </c>
      <c r="S400" s="11" t="str">
        <f t="shared" si="54"/>
        <v>High_profit</v>
      </c>
      <c r="T400" s="13" t="str">
        <f t="shared" si="55"/>
        <v>May</v>
      </c>
    </row>
    <row r="401" spans="1:20" x14ac:dyDescent="0.3">
      <c r="A401" s="9">
        <v>45489</v>
      </c>
      <c r="B401" s="3">
        <v>3400</v>
      </c>
      <c r="C401" s="3">
        <v>1015</v>
      </c>
      <c r="D401" s="3">
        <v>2043</v>
      </c>
      <c r="E401" s="3">
        <v>9</v>
      </c>
      <c r="F401" s="3">
        <f>VLOOKUP(Sheet1!$D401,Customers!$A$1:$D$51,2,TRUE)</f>
        <v>44</v>
      </c>
      <c r="G401" s="3" t="str">
        <f>VLOOKUP(Sheet1!$D401,Customers!$A$1:$D$51,3,TRUE)</f>
        <v>Male</v>
      </c>
      <c r="H401" s="3" t="str">
        <f>VLOOKUP(Sheet1!$D401,Customers!$A$1:$D$51,4,TRUE)</f>
        <v>Delhi</v>
      </c>
      <c r="I401" s="3" t="str">
        <f>VLOOKUP($C401,Products!$A$1:$E$21,2,TRUE)</f>
        <v>Organizer</v>
      </c>
      <c r="J401" s="3" t="str">
        <f>VLOOKUP($C401,Products!$A$1:$E$21,3,TRUE)</f>
        <v>Office</v>
      </c>
      <c r="K401" s="4">
        <f>VLOOKUP($C401,Products!$A$1:$E$21,4,TRUE)</f>
        <v>70</v>
      </c>
      <c r="L401" s="4">
        <f>VLOOKUP($C401,Products!$A$1:$E$21,5,TRUE)</f>
        <v>210</v>
      </c>
      <c r="M401" s="4">
        <f t="shared" si="48"/>
        <v>630</v>
      </c>
      <c r="N401" s="4">
        <f t="shared" si="49"/>
        <v>1890</v>
      </c>
      <c r="O401" s="4">
        <f t="shared" si="50"/>
        <v>1260</v>
      </c>
      <c r="P401" s="5">
        <f t="shared" si="51"/>
        <v>0.66666666666666663</v>
      </c>
      <c r="Q401" s="3" t="str">
        <f t="shared" si="52"/>
        <v>Medium_order</v>
      </c>
      <c r="R401" s="3" t="str">
        <f t="shared" si="53"/>
        <v>Senior</v>
      </c>
      <c r="S401" s="11" t="str">
        <f t="shared" si="54"/>
        <v>High_profit</v>
      </c>
      <c r="T401" s="13" t="str">
        <f t="shared" si="55"/>
        <v>Jul</v>
      </c>
    </row>
    <row r="402" spans="1:20" x14ac:dyDescent="0.3">
      <c r="A402" s="9">
        <v>45418</v>
      </c>
      <c r="B402" s="3">
        <v>3401</v>
      </c>
      <c r="C402" s="3">
        <v>1019</v>
      </c>
      <c r="D402" s="3">
        <v>2028</v>
      </c>
      <c r="E402" s="3">
        <v>1</v>
      </c>
      <c r="F402" s="3">
        <f>VLOOKUP(Sheet1!$D402,Customers!$A$1:$D$51,2,TRUE)</f>
        <v>43</v>
      </c>
      <c r="G402" s="3" t="str">
        <f>VLOOKUP(Sheet1!$D402,Customers!$A$1:$D$51,3,TRUE)</f>
        <v>Male</v>
      </c>
      <c r="H402" s="3" t="str">
        <f>VLOOKUP(Sheet1!$D402,Customers!$A$1:$D$51,4,TRUE)</f>
        <v>Mumbai</v>
      </c>
      <c r="I402" s="3" t="str">
        <f>VLOOKUP($C402,Products!$A$1:$E$21,2,TRUE)</f>
        <v>Skipping Rope</v>
      </c>
      <c r="J402" s="3" t="str">
        <f>VLOOKUP($C402,Products!$A$1:$E$21,3,TRUE)</f>
        <v>Fitness</v>
      </c>
      <c r="K402" s="4">
        <f>VLOOKUP($C402,Products!$A$1:$E$21,4,TRUE)</f>
        <v>140</v>
      </c>
      <c r="L402" s="4">
        <f>VLOOKUP($C402,Products!$A$1:$E$21,5,TRUE)</f>
        <v>270</v>
      </c>
      <c r="M402" s="4">
        <f t="shared" si="48"/>
        <v>140</v>
      </c>
      <c r="N402" s="4">
        <f t="shared" si="49"/>
        <v>270</v>
      </c>
      <c r="O402" s="4">
        <f t="shared" si="50"/>
        <v>130</v>
      </c>
      <c r="P402" s="5">
        <f t="shared" si="51"/>
        <v>0.48148148148148145</v>
      </c>
      <c r="Q402" s="3" t="str">
        <f t="shared" si="52"/>
        <v>Low_order</v>
      </c>
      <c r="R402" s="3" t="str">
        <f t="shared" si="53"/>
        <v>Senior</v>
      </c>
      <c r="S402" s="11" t="str">
        <f t="shared" si="54"/>
        <v>High_profit</v>
      </c>
      <c r="T402" s="13" t="str">
        <f t="shared" si="55"/>
        <v>May</v>
      </c>
    </row>
    <row r="403" spans="1:20" x14ac:dyDescent="0.3">
      <c r="A403" s="9">
        <v>45449</v>
      </c>
      <c r="B403" s="3">
        <v>3402</v>
      </c>
      <c r="C403" s="3">
        <v>1013</v>
      </c>
      <c r="D403" s="3">
        <v>2020</v>
      </c>
      <c r="E403" s="3">
        <v>4</v>
      </c>
      <c r="F403" s="3">
        <f>VLOOKUP(Sheet1!$D403,Customers!$A$1:$D$51,2,TRUE)</f>
        <v>27</v>
      </c>
      <c r="G403" s="3" t="str">
        <f>VLOOKUP(Sheet1!$D403,Customers!$A$1:$D$51,3,TRUE)</f>
        <v>Male</v>
      </c>
      <c r="H403" s="3" t="str">
        <f>VLOOKUP(Sheet1!$D403,Customers!$A$1:$D$51,4,TRUE)</f>
        <v>Chandigarh</v>
      </c>
      <c r="I403" s="3" t="str">
        <f>VLOOKUP($C403,Products!$A$1:$E$21,2,TRUE)</f>
        <v>Desk Lamp</v>
      </c>
      <c r="J403" s="3" t="str">
        <f>VLOOKUP($C403,Products!$A$1:$E$21,3,TRUE)</f>
        <v>Office</v>
      </c>
      <c r="K403" s="4">
        <f>VLOOKUP($C403,Products!$A$1:$E$21,4,TRUE)</f>
        <v>140</v>
      </c>
      <c r="L403" s="4">
        <f>VLOOKUP($C403,Products!$A$1:$E$21,5,TRUE)</f>
        <v>390</v>
      </c>
      <c r="M403" s="4">
        <f t="shared" si="48"/>
        <v>560</v>
      </c>
      <c r="N403" s="4">
        <f t="shared" si="49"/>
        <v>1560</v>
      </c>
      <c r="O403" s="4">
        <f t="shared" si="50"/>
        <v>1000</v>
      </c>
      <c r="P403" s="5">
        <f t="shared" si="51"/>
        <v>0.64102564102564108</v>
      </c>
      <c r="Q403" s="3" t="str">
        <f t="shared" si="52"/>
        <v>Medium_order</v>
      </c>
      <c r="R403" s="3" t="str">
        <f t="shared" si="53"/>
        <v>Young</v>
      </c>
      <c r="S403" s="11" t="str">
        <f t="shared" si="54"/>
        <v>High_profit</v>
      </c>
      <c r="T403" s="13" t="str">
        <f t="shared" si="55"/>
        <v>Jun</v>
      </c>
    </row>
    <row r="404" spans="1:20" x14ac:dyDescent="0.3">
      <c r="A404" s="9">
        <v>45629</v>
      </c>
      <c r="B404" s="3">
        <v>3403</v>
      </c>
      <c r="C404" s="3">
        <v>1001</v>
      </c>
      <c r="D404" s="3">
        <v>2032</v>
      </c>
      <c r="E404" s="3">
        <v>9</v>
      </c>
      <c r="F404" s="3">
        <f>VLOOKUP(Sheet1!$D404,Customers!$A$1:$D$51,2,TRUE)</f>
        <v>42</v>
      </c>
      <c r="G404" s="3" t="str">
        <f>VLOOKUP(Sheet1!$D404,Customers!$A$1:$D$51,3,TRUE)</f>
        <v>Male</v>
      </c>
      <c r="H404" s="3" t="str">
        <f>VLOOKUP(Sheet1!$D404,Customers!$A$1:$D$51,4,TRUE)</f>
        <v>Hyderabad</v>
      </c>
      <c r="I404" s="3" t="str">
        <f>VLOOKUP($C404,Products!$A$1:$E$21,2,TRUE)</f>
        <v>Headphones</v>
      </c>
      <c r="J404" s="3" t="str">
        <f>VLOOKUP($C404,Products!$A$1:$E$21,3,TRUE)</f>
        <v>Electronics</v>
      </c>
      <c r="K404" s="4">
        <f>VLOOKUP($C404,Products!$A$1:$E$21,4,TRUE)</f>
        <v>380</v>
      </c>
      <c r="L404" s="4">
        <f>VLOOKUP($C404,Products!$A$1:$E$21,5,TRUE)</f>
        <v>550</v>
      </c>
      <c r="M404" s="4">
        <f t="shared" si="48"/>
        <v>3420</v>
      </c>
      <c r="N404" s="4">
        <f t="shared" si="49"/>
        <v>4950</v>
      </c>
      <c r="O404" s="4">
        <f t="shared" si="50"/>
        <v>1530</v>
      </c>
      <c r="P404" s="5">
        <f t="shared" si="51"/>
        <v>0.30909090909090908</v>
      </c>
      <c r="Q404" s="3" t="str">
        <f t="shared" si="52"/>
        <v>High_order</v>
      </c>
      <c r="R404" s="3" t="str">
        <f t="shared" si="53"/>
        <v>Senior</v>
      </c>
      <c r="S404" s="11" t="str">
        <f t="shared" si="54"/>
        <v>Low_profit</v>
      </c>
      <c r="T404" s="13" t="str">
        <f t="shared" si="55"/>
        <v>Dec</v>
      </c>
    </row>
    <row r="405" spans="1:20" x14ac:dyDescent="0.3">
      <c r="A405" s="9">
        <v>45480</v>
      </c>
      <c r="B405" s="3">
        <v>3404</v>
      </c>
      <c r="C405" s="3">
        <v>1016</v>
      </c>
      <c r="D405" s="3">
        <v>2040</v>
      </c>
      <c r="E405" s="3">
        <v>1</v>
      </c>
      <c r="F405" s="3">
        <f>VLOOKUP(Sheet1!$D405,Customers!$A$1:$D$51,2,TRUE)</f>
        <v>40</v>
      </c>
      <c r="G405" s="3" t="str">
        <f>VLOOKUP(Sheet1!$D405,Customers!$A$1:$D$51,3,TRUE)</f>
        <v>Male</v>
      </c>
      <c r="H405" s="3" t="str">
        <f>VLOOKUP(Sheet1!$D405,Customers!$A$1:$D$51,4,TRUE)</f>
        <v>Hyderabad</v>
      </c>
      <c r="I405" s="3" t="str">
        <f>VLOOKUP($C405,Products!$A$1:$E$21,2,TRUE)</f>
        <v>Yoga Mat</v>
      </c>
      <c r="J405" s="3" t="str">
        <f>VLOOKUP($C405,Products!$A$1:$E$21,3,TRUE)</f>
        <v>Fitness</v>
      </c>
      <c r="K405" s="4">
        <f>VLOOKUP($C405,Products!$A$1:$E$21,4,TRUE)</f>
        <v>330</v>
      </c>
      <c r="L405" s="4">
        <f>VLOOKUP($C405,Products!$A$1:$E$21,5,TRUE)</f>
        <v>490</v>
      </c>
      <c r="M405" s="4">
        <f t="shared" si="48"/>
        <v>330</v>
      </c>
      <c r="N405" s="4">
        <f t="shared" si="49"/>
        <v>490</v>
      </c>
      <c r="O405" s="4">
        <f t="shared" si="50"/>
        <v>160</v>
      </c>
      <c r="P405" s="5">
        <f t="shared" si="51"/>
        <v>0.32653061224489793</v>
      </c>
      <c r="Q405" s="3" t="str">
        <f t="shared" si="52"/>
        <v>Low_order</v>
      </c>
      <c r="R405" s="3" t="str">
        <f t="shared" si="53"/>
        <v>Middle_age</v>
      </c>
      <c r="S405" s="11" t="str">
        <f t="shared" si="54"/>
        <v>Medium_profit</v>
      </c>
      <c r="T405" s="13" t="str">
        <f t="shared" si="55"/>
        <v>Jul</v>
      </c>
    </row>
    <row r="406" spans="1:20" x14ac:dyDescent="0.3">
      <c r="A406" s="9">
        <v>45634</v>
      </c>
      <c r="B406" s="3">
        <v>3405</v>
      </c>
      <c r="C406" s="3">
        <v>1009</v>
      </c>
      <c r="D406" s="3">
        <v>2023</v>
      </c>
      <c r="E406" s="3">
        <v>2</v>
      </c>
      <c r="F406" s="3">
        <f>VLOOKUP(Sheet1!$D406,Customers!$A$1:$D$51,2,TRUE)</f>
        <v>41</v>
      </c>
      <c r="G406" s="3" t="str">
        <f>VLOOKUP(Sheet1!$D406,Customers!$A$1:$D$51,3,TRUE)</f>
        <v>Male</v>
      </c>
      <c r="H406" s="3" t="str">
        <f>VLOOKUP(Sheet1!$D406,Customers!$A$1:$D$51,4,TRUE)</f>
        <v>Delhi</v>
      </c>
      <c r="I406" s="3" t="str">
        <f>VLOOKUP($C406,Products!$A$1:$E$21,2,TRUE)</f>
        <v>Power Bank</v>
      </c>
      <c r="J406" s="3" t="str">
        <f>VLOOKUP($C406,Products!$A$1:$E$21,3,TRUE)</f>
        <v>Accessories</v>
      </c>
      <c r="K406" s="4">
        <f>VLOOKUP($C406,Products!$A$1:$E$21,4,TRUE)</f>
        <v>50</v>
      </c>
      <c r="L406" s="4">
        <f>VLOOKUP($C406,Products!$A$1:$E$21,5,TRUE)</f>
        <v>220</v>
      </c>
      <c r="M406" s="4">
        <f t="shared" si="48"/>
        <v>100</v>
      </c>
      <c r="N406" s="4">
        <f t="shared" si="49"/>
        <v>440</v>
      </c>
      <c r="O406" s="4">
        <f t="shared" si="50"/>
        <v>340</v>
      </c>
      <c r="P406" s="5">
        <f t="shared" si="51"/>
        <v>0.77272727272727271</v>
      </c>
      <c r="Q406" s="3" t="str">
        <f t="shared" si="52"/>
        <v>Low_order</v>
      </c>
      <c r="R406" s="3" t="str">
        <f t="shared" si="53"/>
        <v>Senior</v>
      </c>
      <c r="S406" s="11" t="str">
        <f t="shared" si="54"/>
        <v>High_profit</v>
      </c>
      <c r="T406" s="13" t="str">
        <f t="shared" si="55"/>
        <v>Dec</v>
      </c>
    </row>
    <row r="407" spans="1:20" x14ac:dyDescent="0.3">
      <c r="A407" s="9">
        <v>45545</v>
      </c>
      <c r="B407" s="3">
        <v>3406</v>
      </c>
      <c r="C407" s="3">
        <v>1017</v>
      </c>
      <c r="D407" s="3">
        <v>2033</v>
      </c>
      <c r="E407" s="3">
        <v>10</v>
      </c>
      <c r="F407" s="3">
        <f>VLOOKUP(Sheet1!$D407,Customers!$A$1:$D$51,2,TRUE)</f>
        <v>43</v>
      </c>
      <c r="G407" s="3" t="str">
        <f>VLOOKUP(Sheet1!$D407,Customers!$A$1:$D$51,3,TRUE)</f>
        <v>Female</v>
      </c>
      <c r="H407" s="3" t="str">
        <f>VLOOKUP(Sheet1!$D407,Customers!$A$1:$D$51,4,TRUE)</f>
        <v>Hyderabad</v>
      </c>
      <c r="I407" s="3" t="str">
        <f>VLOOKUP($C407,Products!$A$1:$E$21,2,TRUE)</f>
        <v>Dumbbells</v>
      </c>
      <c r="J407" s="3" t="str">
        <f>VLOOKUP($C407,Products!$A$1:$E$21,3,TRUE)</f>
        <v>Fitness</v>
      </c>
      <c r="K407" s="4">
        <f>VLOOKUP($C407,Products!$A$1:$E$21,4,TRUE)</f>
        <v>120</v>
      </c>
      <c r="L407" s="4">
        <f>VLOOKUP($C407,Products!$A$1:$E$21,5,TRUE)</f>
        <v>200</v>
      </c>
      <c r="M407" s="4">
        <f t="shared" si="48"/>
        <v>1200</v>
      </c>
      <c r="N407" s="4">
        <f t="shared" si="49"/>
        <v>2000</v>
      </c>
      <c r="O407" s="4">
        <f t="shared" si="50"/>
        <v>800</v>
      </c>
      <c r="P407" s="5">
        <f t="shared" si="51"/>
        <v>0.4</v>
      </c>
      <c r="Q407" s="3" t="str">
        <f t="shared" si="52"/>
        <v>Medium_order</v>
      </c>
      <c r="R407" s="3" t="str">
        <f t="shared" si="53"/>
        <v>Senior</v>
      </c>
      <c r="S407" s="11" t="str">
        <f t="shared" si="54"/>
        <v>Medium_profit</v>
      </c>
      <c r="T407" s="13" t="str">
        <f t="shared" si="55"/>
        <v>Sep</v>
      </c>
    </row>
    <row r="408" spans="1:20" x14ac:dyDescent="0.3">
      <c r="A408" s="9">
        <v>45507</v>
      </c>
      <c r="B408" s="3">
        <v>3407</v>
      </c>
      <c r="C408" s="3">
        <v>1005</v>
      </c>
      <c r="D408" s="3">
        <v>2049</v>
      </c>
      <c r="E408" s="3">
        <v>10</v>
      </c>
      <c r="F408" s="3">
        <f>VLOOKUP(Sheet1!$D408,Customers!$A$1:$D$51,2,TRUE)</f>
        <v>44</v>
      </c>
      <c r="G408" s="3" t="str">
        <f>VLOOKUP(Sheet1!$D408,Customers!$A$1:$D$51,3,TRUE)</f>
        <v>Female</v>
      </c>
      <c r="H408" s="3" t="str">
        <f>VLOOKUP(Sheet1!$D408,Customers!$A$1:$D$51,4,TRUE)</f>
        <v>Delhi</v>
      </c>
      <c r="I408" s="3" t="str">
        <f>VLOOKUP($C408,Products!$A$1:$E$21,2,TRUE)</f>
        <v>Webcam</v>
      </c>
      <c r="J408" s="3" t="str">
        <f>VLOOKUP($C408,Products!$A$1:$E$21,3,TRUE)</f>
        <v>Electronics</v>
      </c>
      <c r="K408" s="4">
        <f>VLOOKUP($C408,Products!$A$1:$E$21,4,TRUE)</f>
        <v>340</v>
      </c>
      <c r="L408" s="4">
        <f>VLOOKUP($C408,Products!$A$1:$E$21,5,TRUE)</f>
        <v>520</v>
      </c>
      <c r="M408" s="4">
        <f t="shared" si="48"/>
        <v>3400</v>
      </c>
      <c r="N408" s="4">
        <f t="shared" si="49"/>
        <v>5200</v>
      </c>
      <c r="O408" s="4">
        <f t="shared" si="50"/>
        <v>1800</v>
      </c>
      <c r="P408" s="5">
        <f t="shared" si="51"/>
        <v>0.34615384615384615</v>
      </c>
      <c r="Q408" s="3" t="str">
        <f t="shared" si="52"/>
        <v>High_order</v>
      </c>
      <c r="R408" s="3" t="str">
        <f t="shared" si="53"/>
        <v>Senior</v>
      </c>
      <c r="S408" s="11" t="str">
        <f t="shared" si="54"/>
        <v>Medium_profit</v>
      </c>
      <c r="T408" s="13" t="str">
        <f t="shared" si="55"/>
        <v>Aug</v>
      </c>
    </row>
    <row r="409" spans="1:20" x14ac:dyDescent="0.3">
      <c r="A409" s="9">
        <v>45358</v>
      </c>
      <c r="B409" s="3">
        <v>3408</v>
      </c>
      <c r="C409" s="3">
        <v>1003</v>
      </c>
      <c r="D409" s="3">
        <v>2024</v>
      </c>
      <c r="E409" s="3">
        <v>6</v>
      </c>
      <c r="F409" s="3">
        <f>VLOOKUP(Sheet1!$D409,Customers!$A$1:$D$51,2,TRUE)</f>
        <v>26</v>
      </c>
      <c r="G409" s="3" t="str">
        <f>VLOOKUP(Sheet1!$D409,Customers!$A$1:$D$51,3,TRUE)</f>
        <v>Female</v>
      </c>
      <c r="H409" s="3" t="str">
        <f>VLOOKUP(Sheet1!$D409,Customers!$A$1:$D$51,4,TRUE)</f>
        <v>Delhi</v>
      </c>
      <c r="I409" s="3" t="str">
        <f>VLOOKUP($C409,Products!$A$1:$E$21,2,TRUE)</f>
        <v>Mouse</v>
      </c>
      <c r="J409" s="3" t="str">
        <f>VLOOKUP($C409,Products!$A$1:$E$21,3,TRUE)</f>
        <v>Electronics</v>
      </c>
      <c r="K409" s="4">
        <f>VLOOKUP($C409,Products!$A$1:$E$21,4,TRUE)</f>
        <v>140</v>
      </c>
      <c r="L409" s="4">
        <f>VLOOKUP($C409,Products!$A$1:$E$21,5,TRUE)</f>
        <v>350</v>
      </c>
      <c r="M409" s="4">
        <f t="shared" si="48"/>
        <v>840</v>
      </c>
      <c r="N409" s="4">
        <f t="shared" si="49"/>
        <v>2100</v>
      </c>
      <c r="O409" s="4">
        <f t="shared" si="50"/>
        <v>1260</v>
      </c>
      <c r="P409" s="5">
        <f t="shared" si="51"/>
        <v>0.6</v>
      </c>
      <c r="Q409" s="3" t="str">
        <f t="shared" si="52"/>
        <v>Medium_order</v>
      </c>
      <c r="R409" s="3" t="str">
        <f t="shared" si="53"/>
        <v>Young</v>
      </c>
      <c r="S409" s="11" t="str">
        <f t="shared" si="54"/>
        <v>High_profit</v>
      </c>
      <c r="T409" s="13" t="str">
        <f t="shared" si="55"/>
        <v>Mar</v>
      </c>
    </row>
    <row r="410" spans="1:20" x14ac:dyDescent="0.3">
      <c r="A410" s="9">
        <v>45637</v>
      </c>
      <c r="B410" s="3">
        <v>3409</v>
      </c>
      <c r="C410" s="3">
        <v>1017</v>
      </c>
      <c r="D410" s="3">
        <v>2007</v>
      </c>
      <c r="E410" s="3">
        <v>9</v>
      </c>
      <c r="F410" s="3">
        <f>VLOOKUP(Sheet1!$D410,Customers!$A$1:$D$51,2,TRUE)</f>
        <v>34</v>
      </c>
      <c r="G410" s="3" t="str">
        <f>VLOOKUP(Sheet1!$D410,Customers!$A$1:$D$51,3,TRUE)</f>
        <v>Male</v>
      </c>
      <c r="H410" s="3" t="str">
        <f>VLOOKUP(Sheet1!$D410,Customers!$A$1:$D$51,4,TRUE)</f>
        <v>Bangalore</v>
      </c>
      <c r="I410" s="3" t="str">
        <f>VLOOKUP($C410,Products!$A$1:$E$21,2,TRUE)</f>
        <v>Dumbbells</v>
      </c>
      <c r="J410" s="3" t="str">
        <f>VLOOKUP($C410,Products!$A$1:$E$21,3,TRUE)</f>
        <v>Fitness</v>
      </c>
      <c r="K410" s="4">
        <f>VLOOKUP($C410,Products!$A$1:$E$21,4,TRUE)</f>
        <v>120</v>
      </c>
      <c r="L410" s="4">
        <f>VLOOKUP($C410,Products!$A$1:$E$21,5,TRUE)</f>
        <v>200</v>
      </c>
      <c r="M410" s="4">
        <f t="shared" si="48"/>
        <v>1080</v>
      </c>
      <c r="N410" s="4">
        <f t="shared" si="49"/>
        <v>1800</v>
      </c>
      <c r="O410" s="4">
        <f t="shared" si="50"/>
        <v>720</v>
      </c>
      <c r="P410" s="5">
        <f t="shared" si="51"/>
        <v>0.4</v>
      </c>
      <c r="Q410" s="3" t="str">
        <f t="shared" si="52"/>
        <v>Medium_order</v>
      </c>
      <c r="R410" s="3" t="str">
        <f t="shared" si="53"/>
        <v>Middle_age</v>
      </c>
      <c r="S410" s="11" t="str">
        <f t="shared" si="54"/>
        <v>Medium_profit</v>
      </c>
      <c r="T410" s="13" t="str">
        <f t="shared" si="55"/>
        <v>Dec</v>
      </c>
    </row>
    <row r="411" spans="1:20" x14ac:dyDescent="0.3">
      <c r="A411" s="9">
        <v>45521</v>
      </c>
      <c r="B411" s="3">
        <v>3410</v>
      </c>
      <c r="C411" s="3">
        <v>1001</v>
      </c>
      <c r="D411" s="3">
        <v>2019</v>
      </c>
      <c r="E411" s="3">
        <v>2</v>
      </c>
      <c r="F411" s="3">
        <f>VLOOKUP(Sheet1!$D411,Customers!$A$1:$D$51,2,TRUE)</f>
        <v>57</v>
      </c>
      <c r="G411" s="3" t="str">
        <f>VLOOKUP(Sheet1!$D411,Customers!$A$1:$D$51,3,TRUE)</f>
        <v>Male</v>
      </c>
      <c r="H411" s="3" t="str">
        <f>VLOOKUP(Sheet1!$D411,Customers!$A$1:$D$51,4,TRUE)</f>
        <v>Chandigarh</v>
      </c>
      <c r="I411" s="3" t="str">
        <f>VLOOKUP($C411,Products!$A$1:$E$21,2,TRUE)</f>
        <v>Headphones</v>
      </c>
      <c r="J411" s="3" t="str">
        <f>VLOOKUP($C411,Products!$A$1:$E$21,3,TRUE)</f>
        <v>Electronics</v>
      </c>
      <c r="K411" s="4">
        <f>VLOOKUP($C411,Products!$A$1:$E$21,4,TRUE)</f>
        <v>380</v>
      </c>
      <c r="L411" s="4">
        <f>VLOOKUP($C411,Products!$A$1:$E$21,5,TRUE)</f>
        <v>550</v>
      </c>
      <c r="M411" s="4">
        <f t="shared" si="48"/>
        <v>760</v>
      </c>
      <c r="N411" s="4">
        <f t="shared" si="49"/>
        <v>1100</v>
      </c>
      <c r="O411" s="4">
        <f t="shared" si="50"/>
        <v>340</v>
      </c>
      <c r="P411" s="5">
        <f t="shared" si="51"/>
        <v>0.30909090909090908</v>
      </c>
      <c r="Q411" s="3" t="str">
        <f t="shared" si="52"/>
        <v>Low_order</v>
      </c>
      <c r="R411" s="3" t="str">
        <f t="shared" si="53"/>
        <v>Senior</v>
      </c>
      <c r="S411" s="11" t="str">
        <f t="shared" si="54"/>
        <v>Low_profit</v>
      </c>
      <c r="T411" s="13" t="str">
        <f t="shared" si="55"/>
        <v>Aug</v>
      </c>
    </row>
    <row r="412" spans="1:20" x14ac:dyDescent="0.3">
      <c r="A412" s="9">
        <v>45652</v>
      </c>
      <c r="B412" s="3">
        <v>3411</v>
      </c>
      <c r="C412" s="3">
        <v>1013</v>
      </c>
      <c r="D412" s="3">
        <v>2050</v>
      </c>
      <c r="E412" s="3">
        <v>10</v>
      </c>
      <c r="F412" s="3">
        <f>VLOOKUP(Sheet1!$D412,Customers!$A$1:$D$51,2,TRUE)</f>
        <v>54</v>
      </c>
      <c r="G412" s="3" t="str">
        <f>VLOOKUP(Sheet1!$D412,Customers!$A$1:$D$51,3,TRUE)</f>
        <v>Female</v>
      </c>
      <c r="H412" s="3" t="str">
        <f>VLOOKUP(Sheet1!$D412,Customers!$A$1:$D$51,4,TRUE)</f>
        <v>Delhi</v>
      </c>
      <c r="I412" s="3" t="str">
        <f>VLOOKUP($C412,Products!$A$1:$E$21,2,TRUE)</f>
        <v>Desk Lamp</v>
      </c>
      <c r="J412" s="3" t="str">
        <f>VLOOKUP($C412,Products!$A$1:$E$21,3,TRUE)</f>
        <v>Office</v>
      </c>
      <c r="K412" s="4">
        <f>VLOOKUP($C412,Products!$A$1:$E$21,4,TRUE)</f>
        <v>140</v>
      </c>
      <c r="L412" s="4">
        <f>VLOOKUP($C412,Products!$A$1:$E$21,5,TRUE)</f>
        <v>390</v>
      </c>
      <c r="M412" s="4">
        <f t="shared" si="48"/>
        <v>1400</v>
      </c>
      <c r="N412" s="4">
        <f t="shared" si="49"/>
        <v>3900</v>
      </c>
      <c r="O412" s="4">
        <f t="shared" si="50"/>
        <v>2500</v>
      </c>
      <c r="P412" s="5">
        <f t="shared" si="51"/>
        <v>0.64102564102564108</v>
      </c>
      <c r="Q412" s="3" t="str">
        <f t="shared" si="52"/>
        <v>High_order</v>
      </c>
      <c r="R412" s="3" t="str">
        <f t="shared" si="53"/>
        <v>Senior</v>
      </c>
      <c r="S412" s="11" t="str">
        <f t="shared" si="54"/>
        <v>High_profit</v>
      </c>
      <c r="T412" s="13" t="str">
        <f t="shared" si="55"/>
        <v>Dec</v>
      </c>
    </row>
    <row r="413" spans="1:20" x14ac:dyDescent="0.3">
      <c r="A413" s="9">
        <v>45363</v>
      </c>
      <c r="B413" s="3">
        <v>3412</v>
      </c>
      <c r="C413" s="3">
        <v>1009</v>
      </c>
      <c r="D413" s="3">
        <v>2027</v>
      </c>
      <c r="E413" s="3">
        <v>8</v>
      </c>
      <c r="F413" s="3">
        <f>VLOOKUP(Sheet1!$D413,Customers!$A$1:$D$51,2,TRUE)</f>
        <v>27</v>
      </c>
      <c r="G413" s="3" t="str">
        <f>VLOOKUP(Sheet1!$D413,Customers!$A$1:$D$51,3,TRUE)</f>
        <v>Female</v>
      </c>
      <c r="H413" s="3" t="str">
        <f>VLOOKUP(Sheet1!$D413,Customers!$A$1:$D$51,4,TRUE)</f>
        <v>Chandigarh</v>
      </c>
      <c r="I413" s="3" t="str">
        <f>VLOOKUP($C413,Products!$A$1:$E$21,2,TRUE)</f>
        <v>Power Bank</v>
      </c>
      <c r="J413" s="3" t="str">
        <f>VLOOKUP($C413,Products!$A$1:$E$21,3,TRUE)</f>
        <v>Accessories</v>
      </c>
      <c r="K413" s="4">
        <f>VLOOKUP($C413,Products!$A$1:$E$21,4,TRUE)</f>
        <v>50</v>
      </c>
      <c r="L413" s="4">
        <f>VLOOKUP($C413,Products!$A$1:$E$21,5,TRUE)</f>
        <v>220</v>
      </c>
      <c r="M413" s="4">
        <f t="shared" si="48"/>
        <v>400</v>
      </c>
      <c r="N413" s="4">
        <f t="shared" si="49"/>
        <v>1760</v>
      </c>
      <c r="O413" s="4">
        <f t="shared" si="50"/>
        <v>1360</v>
      </c>
      <c r="P413" s="5">
        <f t="shared" si="51"/>
        <v>0.77272727272727271</v>
      </c>
      <c r="Q413" s="3" t="str">
        <f t="shared" si="52"/>
        <v>Medium_order</v>
      </c>
      <c r="R413" s="3" t="str">
        <f t="shared" si="53"/>
        <v>Young</v>
      </c>
      <c r="S413" s="11" t="str">
        <f t="shared" si="54"/>
        <v>High_profit</v>
      </c>
      <c r="T413" s="13" t="str">
        <f t="shared" si="55"/>
        <v>Mar</v>
      </c>
    </row>
    <row r="414" spans="1:20" x14ac:dyDescent="0.3">
      <c r="A414" s="9">
        <v>45573</v>
      </c>
      <c r="B414" s="3">
        <v>3413</v>
      </c>
      <c r="C414" s="3">
        <v>1014</v>
      </c>
      <c r="D414" s="3">
        <v>2006</v>
      </c>
      <c r="E414" s="3">
        <v>7</v>
      </c>
      <c r="F414" s="3">
        <f>VLOOKUP(Sheet1!$D414,Customers!$A$1:$D$51,2,TRUE)</f>
        <v>32</v>
      </c>
      <c r="G414" s="3" t="str">
        <f>VLOOKUP(Sheet1!$D414,Customers!$A$1:$D$51,3,TRUE)</f>
        <v>Male</v>
      </c>
      <c r="H414" s="3" t="str">
        <f>VLOOKUP(Sheet1!$D414,Customers!$A$1:$D$51,4,TRUE)</f>
        <v>Hyderabad</v>
      </c>
      <c r="I414" s="3" t="str">
        <f>VLOOKUP($C414,Products!$A$1:$E$21,2,TRUE)</f>
        <v>Stapler</v>
      </c>
      <c r="J414" s="3" t="str">
        <f>VLOOKUP($C414,Products!$A$1:$E$21,3,TRUE)</f>
        <v>Office</v>
      </c>
      <c r="K414" s="4">
        <f>VLOOKUP($C414,Products!$A$1:$E$21,4,TRUE)</f>
        <v>170</v>
      </c>
      <c r="L414" s="4">
        <f>VLOOKUP($C414,Products!$A$1:$E$21,5,TRUE)</f>
        <v>280</v>
      </c>
      <c r="M414" s="4">
        <f t="shared" si="48"/>
        <v>1190</v>
      </c>
      <c r="N414" s="4">
        <f t="shared" si="49"/>
        <v>1960</v>
      </c>
      <c r="O414" s="4">
        <f t="shared" si="50"/>
        <v>770</v>
      </c>
      <c r="P414" s="5">
        <f t="shared" si="51"/>
        <v>0.39285714285714285</v>
      </c>
      <c r="Q414" s="3" t="str">
        <f t="shared" si="52"/>
        <v>Medium_order</v>
      </c>
      <c r="R414" s="3" t="str">
        <f t="shared" si="53"/>
        <v>Middle_age</v>
      </c>
      <c r="S414" s="11" t="str">
        <f t="shared" si="54"/>
        <v>Medium_profit</v>
      </c>
      <c r="T414" s="13" t="str">
        <f t="shared" si="55"/>
        <v>Oct</v>
      </c>
    </row>
    <row r="415" spans="1:20" x14ac:dyDescent="0.3">
      <c r="A415" s="9">
        <v>45319</v>
      </c>
      <c r="B415" s="3">
        <v>3414</v>
      </c>
      <c r="C415" s="3">
        <v>1002</v>
      </c>
      <c r="D415" s="3">
        <v>2007</v>
      </c>
      <c r="E415" s="3">
        <v>5</v>
      </c>
      <c r="F415" s="3">
        <f>VLOOKUP(Sheet1!$D415,Customers!$A$1:$D$51,2,TRUE)</f>
        <v>34</v>
      </c>
      <c r="G415" s="3" t="str">
        <f>VLOOKUP(Sheet1!$D415,Customers!$A$1:$D$51,3,TRUE)</f>
        <v>Male</v>
      </c>
      <c r="H415" s="3" t="str">
        <f>VLOOKUP(Sheet1!$D415,Customers!$A$1:$D$51,4,TRUE)</f>
        <v>Bangalore</v>
      </c>
      <c r="I415" s="3" t="str">
        <f>VLOOKUP($C415,Products!$A$1:$E$21,2,TRUE)</f>
        <v>Keyboard</v>
      </c>
      <c r="J415" s="3" t="str">
        <f>VLOOKUP($C415,Products!$A$1:$E$21,3,TRUE)</f>
        <v>Electronics</v>
      </c>
      <c r="K415" s="4">
        <f>VLOOKUP($C415,Products!$A$1:$E$21,4,TRUE)</f>
        <v>230</v>
      </c>
      <c r="L415" s="4">
        <f>VLOOKUP($C415,Products!$A$1:$E$21,5,TRUE)</f>
        <v>400</v>
      </c>
      <c r="M415" s="4">
        <f t="shared" si="48"/>
        <v>1150</v>
      </c>
      <c r="N415" s="4">
        <f t="shared" si="49"/>
        <v>2000</v>
      </c>
      <c r="O415" s="4">
        <f t="shared" si="50"/>
        <v>850</v>
      </c>
      <c r="P415" s="5">
        <f t="shared" si="51"/>
        <v>0.42499999999999999</v>
      </c>
      <c r="Q415" s="3" t="str">
        <f t="shared" si="52"/>
        <v>Medium_order</v>
      </c>
      <c r="R415" s="3" t="str">
        <f t="shared" si="53"/>
        <v>Middle_age</v>
      </c>
      <c r="S415" s="11" t="str">
        <f t="shared" si="54"/>
        <v>High_profit</v>
      </c>
      <c r="T415" s="13" t="str">
        <f t="shared" si="55"/>
        <v>Jan</v>
      </c>
    </row>
    <row r="416" spans="1:20" x14ac:dyDescent="0.3">
      <c r="A416" s="9">
        <v>45455</v>
      </c>
      <c r="B416" s="3">
        <v>3415</v>
      </c>
      <c r="C416" s="3">
        <v>1019</v>
      </c>
      <c r="D416" s="3">
        <v>2045</v>
      </c>
      <c r="E416" s="3">
        <v>8</v>
      </c>
      <c r="F416" s="3">
        <f>VLOOKUP(Sheet1!$D416,Customers!$A$1:$D$51,2,TRUE)</f>
        <v>36</v>
      </c>
      <c r="G416" s="3" t="str">
        <f>VLOOKUP(Sheet1!$D416,Customers!$A$1:$D$51,3,TRUE)</f>
        <v>Male</v>
      </c>
      <c r="H416" s="3" t="str">
        <f>VLOOKUP(Sheet1!$D416,Customers!$A$1:$D$51,4,TRUE)</f>
        <v>Delhi</v>
      </c>
      <c r="I416" s="3" t="str">
        <f>VLOOKUP($C416,Products!$A$1:$E$21,2,TRUE)</f>
        <v>Skipping Rope</v>
      </c>
      <c r="J416" s="3" t="str">
        <f>VLOOKUP($C416,Products!$A$1:$E$21,3,TRUE)</f>
        <v>Fitness</v>
      </c>
      <c r="K416" s="4">
        <f>VLOOKUP($C416,Products!$A$1:$E$21,4,TRUE)</f>
        <v>140</v>
      </c>
      <c r="L416" s="4">
        <f>VLOOKUP($C416,Products!$A$1:$E$21,5,TRUE)</f>
        <v>270</v>
      </c>
      <c r="M416" s="4">
        <f t="shared" si="48"/>
        <v>1120</v>
      </c>
      <c r="N416" s="4">
        <f t="shared" si="49"/>
        <v>2160</v>
      </c>
      <c r="O416" s="4">
        <f t="shared" si="50"/>
        <v>1040</v>
      </c>
      <c r="P416" s="5">
        <f t="shared" si="51"/>
        <v>0.48148148148148145</v>
      </c>
      <c r="Q416" s="3" t="str">
        <f t="shared" si="52"/>
        <v>Medium_order</v>
      </c>
      <c r="R416" s="3" t="str">
        <f t="shared" si="53"/>
        <v>Middle_age</v>
      </c>
      <c r="S416" s="11" t="str">
        <f t="shared" si="54"/>
        <v>High_profit</v>
      </c>
      <c r="T416" s="13" t="str">
        <f t="shared" si="55"/>
        <v>Jun</v>
      </c>
    </row>
    <row r="417" spans="1:20" x14ac:dyDescent="0.3">
      <c r="A417" s="9">
        <v>45538</v>
      </c>
      <c r="B417" s="3">
        <v>3416</v>
      </c>
      <c r="C417" s="3">
        <v>1020</v>
      </c>
      <c r="D417" s="3">
        <v>2040</v>
      </c>
      <c r="E417" s="3">
        <v>5</v>
      </c>
      <c r="F417" s="3">
        <f>VLOOKUP(Sheet1!$D417,Customers!$A$1:$D$51,2,TRUE)</f>
        <v>40</v>
      </c>
      <c r="G417" s="3" t="str">
        <f>VLOOKUP(Sheet1!$D417,Customers!$A$1:$D$51,3,TRUE)</f>
        <v>Male</v>
      </c>
      <c r="H417" s="3" t="str">
        <f>VLOOKUP(Sheet1!$D417,Customers!$A$1:$D$51,4,TRUE)</f>
        <v>Hyderabad</v>
      </c>
      <c r="I417" s="3" t="str">
        <f>VLOOKUP($C417,Products!$A$1:$E$21,2,TRUE)</f>
        <v>Water Bottle</v>
      </c>
      <c r="J417" s="3" t="str">
        <f>VLOOKUP($C417,Products!$A$1:$E$21,3,TRUE)</f>
        <v>Fitness</v>
      </c>
      <c r="K417" s="4">
        <f>VLOOKUP($C417,Products!$A$1:$E$21,4,TRUE)</f>
        <v>400</v>
      </c>
      <c r="L417" s="4">
        <f>VLOOKUP($C417,Products!$A$1:$E$21,5,TRUE)</f>
        <v>560</v>
      </c>
      <c r="M417" s="4">
        <f t="shared" si="48"/>
        <v>2000</v>
      </c>
      <c r="N417" s="4">
        <f t="shared" si="49"/>
        <v>2800</v>
      </c>
      <c r="O417" s="4">
        <f t="shared" si="50"/>
        <v>800</v>
      </c>
      <c r="P417" s="5">
        <f t="shared" si="51"/>
        <v>0.2857142857142857</v>
      </c>
      <c r="Q417" s="3" t="str">
        <f t="shared" si="52"/>
        <v>High_order</v>
      </c>
      <c r="R417" s="3" t="str">
        <f t="shared" si="53"/>
        <v>Middle_age</v>
      </c>
      <c r="S417" s="11" t="str">
        <f t="shared" si="54"/>
        <v>Low_profit</v>
      </c>
      <c r="T417" s="13" t="str">
        <f t="shared" si="55"/>
        <v>Sep</v>
      </c>
    </row>
    <row r="418" spans="1:20" x14ac:dyDescent="0.3">
      <c r="A418" s="9">
        <v>45384</v>
      </c>
      <c r="B418" s="3">
        <v>3417</v>
      </c>
      <c r="C418" s="3">
        <v>1011</v>
      </c>
      <c r="D418" s="3">
        <v>2024</v>
      </c>
      <c r="E418" s="3">
        <v>7</v>
      </c>
      <c r="F418" s="3">
        <f>VLOOKUP(Sheet1!$D418,Customers!$A$1:$D$51,2,TRUE)</f>
        <v>26</v>
      </c>
      <c r="G418" s="3" t="str">
        <f>VLOOKUP(Sheet1!$D418,Customers!$A$1:$D$51,3,TRUE)</f>
        <v>Female</v>
      </c>
      <c r="H418" s="3" t="str">
        <f>VLOOKUP(Sheet1!$D418,Customers!$A$1:$D$51,4,TRUE)</f>
        <v>Delhi</v>
      </c>
      <c r="I418" s="3" t="str">
        <f>VLOOKUP($C418,Products!$A$1:$E$21,2,TRUE)</f>
        <v>Notebook</v>
      </c>
      <c r="J418" s="3" t="str">
        <f>VLOOKUP($C418,Products!$A$1:$E$21,3,TRUE)</f>
        <v>Office</v>
      </c>
      <c r="K418" s="4">
        <f>VLOOKUP($C418,Products!$A$1:$E$21,4,TRUE)</f>
        <v>120</v>
      </c>
      <c r="L418" s="4">
        <f>VLOOKUP($C418,Products!$A$1:$E$21,5,TRUE)</f>
        <v>180</v>
      </c>
      <c r="M418" s="4">
        <f t="shared" si="48"/>
        <v>840</v>
      </c>
      <c r="N418" s="4">
        <f t="shared" si="49"/>
        <v>1260</v>
      </c>
      <c r="O418" s="4">
        <f t="shared" si="50"/>
        <v>420</v>
      </c>
      <c r="P418" s="5">
        <f t="shared" si="51"/>
        <v>0.33333333333333331</v>
      </c>
      <c r="Q418" s="3" t="str">
        <f t="shared" si="52"/>
        <v>Low_order</v>
      </c>
      <c r="R418" s="3" t="str">
        <f t="shared" si="53"/>
        <v>Young</v>
      </c>
      <c r="S418" s="11" t="str">
        <f t="shared" si="54"/>
        <v>Medium_profit</v>
      </c>
      <c r="T418" s="13" t="str">
        <f t="shared" si="55"/>
        <v>Apr</v>
      </c>
    </row>
    <row r="419" spans="1:20" x14ac:dyDescent="0.3">
      <c r="A419" s="9">
        <v>45437</v>
      </c>
      <c r="B419" s="3">
        <v>3418</v>
      </c>
      <c r="C419" s="3">
        <v>1015</v>
      </c>
      <c r="D419" s="3">
        <v>2007</v>
      </c>
      <c r="E419" s="3">
        <v>9</v>
      </c>
      <c r="F419" s="3">
        <f>VLOOKUP(Sheet1!$D419,Customers!$A$1:$D$51,2,TRUE)</f>
        <v>34</v>
      </c>
      <c r="G419" s="3" t="str">
        <f>VLOOKUP(Sheet1!$D419,Customers!$A$1:$D$51,3,TRUE)</f>
        <v>Male</v>
      </c>
      <c r="H419" s="3" t="str">
        <f>VLOOKUP(Sheet1!$D419,Customers!$A$1:$D$51,4,TRUE)</f>
        <v>Bangalore</v>
      </c>
      <c r="I419" s="3" t="str">
        <f>VLOOKUP($C419,Products!$A$1:$E$21,2,TRUE)</f>
        <v>Organizer</v>
      </c>
      <c r="J419" s="3" t="str">
        <f>VLOOKUP($C419,Products!$A$1:$E$21,3,TRUE)</f>
        <v>Office</v>
      </c>
      <c r="K419" s="4">
        <f>VLOOKUP($C419,Products!$A$1:$E$21,4,TRUE)</f>
        <v>70</v>
      </c>
      <c r="L419" s="4">
        <f>VLOOKUP($C419,Products!$A$1:$E$21,5,TRUE)</f>
        <v>210</v>
      </c>
      <c r="M419" s="4">
        <f t="shared" si="48"/>
        <v>630</v>
      </c>
      <c r="N419" s="4">
        <f t="shared" si="49"/>
        <v>1890</v>
      </c>
      <c r="O419" s="4">
        <f t="shared" si="50"/>
        <v>1260</v>
      </c>
      <c r="P419" s="5">
        <f t="shared" si="51"/>
        <v>0.66666666666666663</v>
      </c>
      <c r="Q419" s="3" t="str">
        <f t="shared" si="52"/>
        <v>Medium_order</v>
      </c>
      <c r="R419" s="3" t="str">
        <f t="shared" si="53"/>
        <v>Middle_age</v>
      </c>
      <c r="S419" s="11" t="str">
        <f t="shared" si="54"/>
        <v>High_profit</v>
      </c>
      <c r="T419" s="13" t="str">
        <f t="shared" si="55"/>
        <v>May</v>
      </c>
    </row>
    <row r="420" spans="1:20" x14ac:dyDescent="0.3">
      <c r="A420" s="9">
        <v>45444</v>
      </c>
      <c r="B420" s="3">
        <v>3419</v>
      </c>
      <c r="C420" s="3">
        <v>1003</v>
      </c>
      <c r="D420" s="3">
        <v>2049</v>
      </c>
      <c r="E420" s="3">
        <v>6</v>
      </c>
      <c r="F420" s="3">
        <f>VLOOKUP(Sheet1!$D420,Customers!$A$1:$D$51,2,TRUE)</f>
        <v>44</v>
      </c>
      <c r="G420" s="3" t="str">
        <f>VLOOKUP(Sheet1!$D420,Customers!$A$1:$D$51,3,TRUE)</f>
        <v>Female</v>
      </c>
      <c r="H420" s="3" t="str">
        <f>VLOOKUP(Sheet1!$D420,Customers!$A$1:$D$51,4,TRUE)</f>
        <v>Delhi</v>
      </c>
      <c r="I420" s="3" t="str">
        <f>VLOOKUP($C420,Products!$A$1:$E$21,2,TRUE)</f>
        <v>Mouse</v>
      </c>
      <c r="J420" s="3" t="str">
        <f>VLOOKUP($C420,Products!$A$1:$E$21,3,TRUE)</f>
        <v>Electronics</v>
      </c>
      <c r="K420" s="4">
        <f>VLOOKUP($C420,Products!$A$1:$E$21,4,TRUE)</f>
        <v>140</v>
      </c>
      <c r="L420" s="4">
        <f>VLOOKUP($C420,Products!$A$1:$E$21,5,TRUE)</f>
        <v>350</v>
      </c>
      <c r="M420" s="4">
        <f t="shared" si="48"/>
        <v>840</v>
      </c>
      <c r="N420" s="4">
        <f t="shared" si="49"/>
        <v>2100</v>
      </c>
      <c r="O420" s="4">
        <f t="shared" si="50"/>
        <v>1260</v>
      </c>
      <c r="P420" s="5">
        <f t="shared" si="51"/>
        <v>0.6</v>
      </c>
      <c r="Q420" s="3" t="str">
        <f t="shared" si="52"/>
        <v>Medium_order</v>
      </c>
      <c r="R420" s="3" t="str">
        <f t="shared" si="53"/>
        <v>Senior</v>
      </c>
      <c r="S420" s="11" t="str">
        <f t="shared" si="54"/>
        <v>High_profit</v>
      </c>
      <c r="T420" s="13" t="str">
        <f t="shared" si="55"/>
        <v>Jun</v>
      </c>
    </row>
    <row r="421" spans="1:20" x14ac:dyDescent="0.3">
      <c r="A421" s="9">
        <v>45609</v>
      </c>
      <c r="B421" s="3">
        <v>3420</v>
      </c>
      <c r="C421" s="3">
        <v>1015</v>
      </c>
      <c r="D421" s="3">
        <v>2038</v>
      </c>
      <c r="E421" s="3">
        <v>6</v>
      </c>
      <c r="F421" s="3">
        <f>VLOOKUP(Sheet1!$D421,Customers!$A$1:$D$51,2,TRUE)</f>
        <v>22</v>
      </c>
      <c r="G421" s="3" t="str">
        <f>VLOOKUP(Sheet1!$D421,Customers!$A$1:$D$51,3,TRUE)</f>
        <v>Male</v>
      </c>
      <c r="H421" s="3" t="str">
        <f>VLOOKUP(Sheet1!$D421,Customers!$A$1:$D$51,4,TRUE)</f>
        <v>Bangalore</v>
      </c>
      <c r="I421" s="3" t="str">
        <f>VLOOKUP($C421,Products!$A$1:$E$21,2,TRUE)</f>
        <v>Organizer</v>
      </c>
      <c r="J421" s="3" t="str">
        <f>VLOOKUP($C421,Products!$A$1:$E$21,3,TRUE)</f>
        <v>Office</v>
      </c>
      <c r="K421" s="4">
        <f>VLOOKUP($C421,Products!$A$1:$E$21,4,TRUE)</f>
        <v>70</v>
      </c>
      <c r="L421" s="4">
        <f>VLOOKUP($C421,Products!$A$1:$E$21,5,TRUE)</f>
        <v>210</v>
      </c>
      <c r="M421" s="4">
        <f t="shared" si="48"/>
        <v>420</v>
      </c>
      <c r="N421" s="4">
        <f t="shared" si="49"/>
        <v>1260</v>
      </c>
      <c r="O421" s="4">
        <f t="shared" si="50"/>
        <v>840</v>
      </c>
      <c r="P421" s="5">
        <f t="shared" si="51"/>
        <v>0.66666666666666663</v>
      </c>
      <c r="Q421" s="3" t="str">
        <f t="shared" si="52"/>
        <v>Low_order</v>
      </c>
      <c r="R421" s="3" t="str">
        <f t="shared" si="53"/>
        <v>Young</v>
      </c>
      <c r="S421" s="11" t="str">
        <f t="shared" si="54"/>
        <v>High_profit</v>
      </c>
      <c r="T421" s="13" t="str">
        <f t="shared" si="55"/>
        <v>Nov</v>
      </c>
    </row>
    <row r="422" spans="1:20" x14ac:dyDescent="0.3">
      <c r="A422" s="9">
        <v>45522</v>
      </c>
      <c r="B422" s="3">
        <v>3421</v>
      </c>
      <c r="C422" s="3">
        <v>1008</v>
      </c>
      <c r="D422" s="3">
        <v>2034</v>
      </c>
      <c r="E422" s="3">
        <v>9</v>
      </c>
      <c r="F422" s="3">
        <f>VLOOKUP(Sheet1!$D422,Customers!$A$1:$D$51,2,TRUE)</f>
        <v>48</v>
      </c>
      <c r="G422" s="3" t="str">
        <f>VLOOKUP(Sheet1!$D422,Customers!$A$1:$D$51,3,TRUE)</f>
        <v>Female</v>
      </c>
      <c r="H422" s="3" t="str">
        <f>VLOOKUP(Sheet1!$D422,Customers!$A$1:$D$51,4,TRUE)</f>
        <v>Pune</v>
      </c>
      <c r="I422" s="3" t="str">
        <f>VLOOKUP($C422,Products!$A$1:$E$21,2,TRUE)</f>
        <v>USB Cable</v>
      </c>
      <c r="J422" s="3" t="str">
        <f>VLOOKUP($C422,Products!$A$1:$E$21,3,TRUE)</f>
        <v>Accessories</v>
      </c>
      <c r="K422" s="4">
        <f>VLOOKUP($C422,Products!$A$1:$E$21,4,TRUE)</f>
        <v>340</v>
      </c>
      <c r="L422" s="4">
        <f>VLOOKUP($C422,Products!$A$1:$E$21,5,TRUE)</f>
        <v>430</v>
      </c>
      <c r="M422" s="4">
        <f t="shared" si="48"/>
        <v>3060</v>
      </c>
      <c r="N422" s="4">
        <f t="shared" si="49"/>
        <v>3870</v>
      </c>
      <c r="O422" s="4">
        <f t="shared" si="50"/>
        <v>810</v>
      </c>
      <c r="P422" s="5">
        <f t="shared" si="51"/>
        <v>0.20930232558139536</v>
      </c>
      <c r="Q422" s="3" t="str">
        <f t="shared" si="52"/>
        <v>High_order</v>
      </c>
      <c r="R422" s="3" t="str">
        <f t="shared" si="53"/>
        <v>Senior</v>
      </c>
      <c r="S422" s="11" t="str">
        <f t="shared" si="54"/>
        <v>Low_profit</v>
      </c>
      <c r="T422" s="13" t="str">
        <f t="shared" si="55"/>
        <v>Aug</v>
      </c>
    </row>
    <row r="423" spans="1:20" x14ac:dyDescent="0.3">
      <c r="A423" s="9">
        <v>45537</v>
      </c>
      <c r="B423" s="3">
        <v>3422</v>
      </c>
      <c r="C423" s="3">
        <v>1006</v>
      </c>
      <c r="D423" s="3">
        <v>2010</v>
      </c>
      <c r="E423" s="3">
        <v>7</v>
      </c>
      <c r="F423" s="3">
        <f>VLOOKUP(Sheet1!$D423,Customers!$A$1:$D$51,2,TRUE)</f>
        <v>38</v>
      </c>
      <c r="G423" s="3" t="str">
        <f>VLOOKUP(Sheet1!$D423,Customers!$A$1:$D$51,3,TRUE)</f>
        <v>Female</v>
      </c>
      <c r="H423" s="3" t="str">
        <f>VLOOKUP(Sheet1!$D423,Customers!$A$1:$D$51,4,TRUE)</f>
        <v>Mumbai</v>
      </c>
      <c r="I423" s="3" t="str">
        <f>VLOOKUP($C423,Products!$A$1:$E$21,2,TRUE)</f>
        <v>Phone Case</v>
      </c>
      <c r="J423" s="3" t="str">
        <f>VLOOKUP($C423,Products!$A$1:$E$21,3,TRUE)</f>
        <v>Accessories</v>
      </c>
      <c r="K423" s="4">
        <f>VLOOKUP($C423,Products!$A$1:$E$21,4,TRUE)</f>
        <v>320</v>
      </c>
      <c r="L423" s="4">
        <f>VLOOKUP($C423,Products!$A$1:$E$21,5,TRUE)</f>
        <v>430</v>
      </c>
      <c r="M423" s="4">
        <f t="shared" si="48"/>
        <v>2240</v>
      </c>
      <c r="N423" s="4">
        <f t="shared" si="49"/>
        <v>3010</v>
      </c>
      <c r="O423" s="4">
        <f t="shared" si="50"/>
        <v>770</v>
      </c>
      <c r="P423" s="5">
        <f t="shared" si="51"/>
        <v>0.2558139534883721</v>
      </c>
      <c r="Q423" s="3" t="str">
        <f t="shared" si="52"/>
        <v>High_order</v>
      </c>
      <c r="R423" s="3" t="str">
        <f t="shared" si="53"/>
        <v>Middle_age</v>
      </c>
      <c r="S423" s="11" t="str">
        <f t="shared" si="54"/>
        <v>Low_profit</v>
      </c>
      <c r="T423" s="13" t="str">
        <f t="shared" si="55"/>
        <v>Sep</v>
      </c>
    </row>
    <row r="424" spans="1:20" x14ac:dyDescent="0.3">
      <c r="A424" s="9">
        <v>45454</v>
      </c>
      <c r="B424" s="3">
        <v>3423</v>
      </c>
      <c r="C424" s="3">
        <v>1004</v>
      </c>
      <c r="D424" s="3">
        <v>2022</v>
      </c>
      <c r="E424" s="3">
        <v>3</v>
      </c>
      <c r="F424" s="3">
        <f>VLOOKUP(Sheet1!$D424,Customers!$A$1:$D$51,2,TRUE)</f>
        <v>19</v>
      </c>
      <c r="G424" s="3" t="str">
        <f>VLOOKUP(Sheet1!$D424,Customers!$A$1:$D$51,3,TRUE)</f>
        <v>Male</v>
      </c>
      <c r="H424" s="3" t="str">
        <f>VLOOKUP(Sheet1!$D424,Customers!$A$1:$D$51,4,TRUE)</f>
        <v>Pune</v>
      </c>
      <c r="I424" s="3" t="str">
        <f>VLOOKUP($C424,Products!$A$1:$E$21,2,TRUE)</f>
        <v>Speaker</v>
      </c>
      <c r="J424" s="3" t="str">
        <f>VLOOKUP($C424,Products!$A$1:$E$21,3,TRUE)</f>
        <v>Electronics</v>
      </c>
      <c r="K424" s="4">
        <f>VLOOKUP($C424,Products!$A$1:$E$21,4,TRUE)</f>
        <v>230</v>
      </c>
      <c r="L424" s="4">
        <f>VLOOKUP($C424,Products!$A$1:$E$21,5,TRUE)</f>
        <v>440</v>
      </c>
      <c r="M424" s="4">
        <f t="shared" si="48"/>
        <v>690</v>
      </c>
      <c r="N424" s="4">
        <f t="shared" si="49"/>
        <v>1320</v>
      </c>
      <c r="O424" s="4">
        <f t="shared" si="50"/>
        <v>630</v>
      </c>
      <c r="P424" s="5">
        <f t="shared" si="51"/>
        <v>0.47727272727272729</v>
      </c>
      <c r="Q424" s="3" t="str">
        <f t="shared" si="52"/>
        <v>Medium_order</v>
      </c>
      <c r="R424" s="3" t="str">
        <f t="shared" si="53"/>
        <v>Young</v>
      </c>
      <c r="S424" s="11" t="str">
        <f t="shared" si="54"/>
        <v>High_profit</v>
      </c>
      <c r="T424" s="13" t="str">
        <f t="shared" si="55"/>
        <v>Jun</v>
      </c>
    </row>
    <row r="425" spans="1:20" x14ac:dyDescent="0.3">
      <c r="A425" s="9">
        <v>45634</v>
      </c>
      <c r="B425" s="3">
        <v>3424</v>
      </c>
      <c r="C425" s="3">
        <v>1011</v>
      </c>
      <c r="D425" s="3">
        <v>2012</v>
      </c>
      <c r="E425" s="3">
        <v>5</v>
      </c>
      <c r="F425" s="3">
        <f>VLOOKUP(Sheet1!$D425,Customers!$A$1:$D$51,2,TRUE)</f>
        <v>21</v>
      </c>
      <c r="G425" s="3" t="str">
        <f>VLOOKUP(Sheet1!$D425,Customers!$A$1:$D$51,3,TRUE)</f>
        <v>Female</v>
      </c>
      <c r="H425" s="3" t="str">
        <f>VLOOKUP(Sheet1!$D425,Customers!$A$1:$D$51,4,TRUE)</f>
        <v>Hyderabad</v>
      </c>
      <c r="I425" s="3" t="str">
        <f>VLOOKUP($C425,Products!$A$1:$E$21,2,TRUE)</f>
        <v>Notebook</v>
      </c>
      <c r="J425" s="3" t="str">
        <f>VLOOKUP($C425,Products!$A$1:$E$21,3,TRUE)</f>
        <v>Office</v>
      </c>
      <c r="K425" s="4">
        <f>VLOOKUP($C425,Products!$A$1:$E$21,4,TRUE)</f>
        <v>120</v>
      </c>
      <c r="L425" s="4">
        <f>VLOOKUP($C425,Products!$A$1:$E$21,5,TRUE)</f>
        <v>180</v>
      </c>
      <c r="M425" s="4">
        <f t="shared" si="48"/>
        <v>600</v>
      </c>
      <c r="N425" s="4">
        <f t="shared" si="49"/>
        <v>900</v>
      </c>
      <c r="O425" s="4">
        <f t="shared" si="50"/>
        <v>300</v>
      </c>
      <c r="P425" s="5">
        <f t="shared" si="51"/>
        <v>0.33333333333333331</v>
      </c>
      <c r="Q425" s="3" t="str">
        <f t="shared" si="52"/>
        <v>Low_order</v>
      </c>
      <c r="R425" s="3" t="str">
        <f t="shared" si="53"/>
        <v>Young</v>
      </c>
      <c r="S425" s="11" t="str">
        <f t="shared" si="54"/>
        <v>Medium_profit</v>
      </c>
      <c r="T425" s="13" t="str">
        <f t="shared" si="55"/>
        <v>Dec</v>
      </c>
    </row>
    <row r="426" spans="1:20" x14ac:dyDescent="0.3">
      <c r="A426" s="9">
        <v>45496</v>
      </c>
      <c r="B426" s="3">
        <v>3425</v>
      </c>
      <c r="C426" s="3">
        <v>1019</v>
      </c>
      <c r="D426" s="3">
        <v>2016</v>
      </c>
      <c r="E426" s="3">
        <v>10</v>
      </c>
      <c r="F426" s="3">
        <f>VLOOKUP(Sheet1!$D426,Customers!$A$1:$D$51,2,TRUE)</f>
        <v>29</v>
      </c>
      <c r="G426" s="3" t="str">
        <f>VLOOKUP(Sheet1!$D426,Customers!$A$1:$D$51,3,TRUE)</f>
        <v>Female</v>
      </c>
      <c r="H426" s="3" t="str">
        <f>VLOOKUP(Sheet1!$D426,Customers!$A$1:$D$51,4,TRUE)</f>
        <v>Chandigarh</v>
      </c>
      <c r="I426" s="3" t="str">
        <f>VLOOKUP($C426,Products!$A$1:$E$21,2,TRUE)</f>
        <v>Skipping Rope</v>
      </c>
      <c r="J426" s="3" t="str">
        <f>VLOOKUP($C426,Products!$A$1:$E$21,3,TRUE)</f>
        <v>Fitness</v>
      </c>
      <c r="K426" s="4">
        <f>VLOOKUP($C426,Products!$A$1:$E$21,4,TRUE)</f>
        <v>140</v>
      </c>
      <c r="L426" s="4">
        <f>VLOOKUP($C426,Products!$A$1:$E$21,5,TRUE)</f>
        <v>270</v>
      </c>
      <c r="M426" s="4">
        <f t="shared" si="48"/>
        <v>1400</v>
      </c>
      <c r="N426" s="4">
        <f t="shared" si="49"/>
        <v>2700</v>
      </c>
      <c r="O426" s="4">
        <f t="shared" si="50"/>
        <v>1300</v>
      </c>
      <c r="P426" s="5">
        <f t="shared" si="51"/>
        <v>0.48148148148148145</v>
      </c>
      <c r="Q426" s="3" t="str">
        <f t="shared" si="52"/>
        <v>High_order</v>
      </c>
      <c r="R426" s="3" t="str">
        <f t="shared" si="53"/>
        <v>Young</v>
      </c>
      <c r="S426" s="11" t="str">
        <f t="shared" si="54"/>
        <v>High_profit</v>
      </c>
      <c r="T426" s="13" t="str">
        <f t="shared" si="55"/>
        <v>Jul</v>
      </c>
    </row>
    <row r="427" spans="1:20" x14ac:dyDescent="0.3">
      <c r="A427" s="9">
        <v>45530</v>
      </c>
      <c r="B427" s="3">
        <v>3426</v>
      </c>
      <c r="C427" s="3">
        <v>1019</v>
      </c>
      <c r="D427" s="3">
        <v>2040</v>
      </c>
      <c r="E427" s="3">
        <v>3</v>
      </c>
      <c r="F427" s="3">
        <f>VLOOKUP(Sheet1!$D427,Customers!$A$1:$D$51,2,TRUE)</f>
        <v>40</v>
      </c>
      <c r="G427" s="3" t="str">
        <f>VLOOKUP(Sheet1!$D427,Customers!$A$1:$D$51,3,TRUE)</f>
        <v>Male</v>
      </c>
      <c r="H427" s="3" t="str">
        <f>VLOOKUP(Sheet1!$D427,Customers!$A$1:$D$51,4,TRUE)</f>
        <v>Hyderabad</v>
      </c>
      <c r="I427" s="3" t="str">
        <f>VLOOKUP($C427,Products!$A$1:$E$21,2,TRUE)</f>
        <v>Skipping Rope</v>
      </c>
      <c r="J427" s="3" t="str">
        <f>VLOOKUP($C427,Products!$A$1:$E$21,3,TRUE)</f>
        <v>Fitness</v>
      </c>
      <c r="K427" s="4">
        <f>VLOOKUP($C427,Products!$A$1:$E$21,4,TRUE)</f>
        <v>140</v>
      </c>
      <c r="L427" s="4">
        <f>VLOOKUP($C427,Products!$A$1:$E$21,5,TRUE)</f>
        <v>270</v>
      </c>
      <c r="M427" s="4">
        <f t="shared" si="48"/>
        <v>420</v>
      </c>
      <c r="N427" s="4">
        <f t="shared" si="49"/>
        <v>810</v>
      </c>
      <c r="O427" s="4">
        <f t="shared" si="50"/>
        <v>390</v>
      </c>
      <c r="P427" s="5">
        <f t="shared" si="51"/>
        <v>0.48148148148148145</v>
      </c>
      <c r="Q427" s="3" t="str">
        <f t="shared" si="52"/>
        <v>Low_order</v>
      </c>
      <c r="R427" s="3" t="str">
        <f t="shared" si="53"/>
        <v>Middle_age</v>
      </c>
      <c r="S427" s="11" t="str">
        <f t="shared" si="54"/>
        <v>High_profit</v>
      </c>
      <c r="T427" s="13" t="str">
        <f t="shared" si="55"/>
        <v>Aug</v>
      </c>
    </row>
    <row r="428" spans="1:20" x14ac:dyDescent="0.3">
      <c r="A428" s="9">
        <v>45344</v>
      </c>
      <c r="B428" s="3">
        <v>3427</v>
      </c>
      <c r="C428" s="3">
        <v>1013</v>
      </c>
      <c r="D428" s="3">
        <v>2032</v>
      </c>
      <c r="E428" s="3">
        <v>5</v>
      </c>
      <c r="F428" s="3">
        <f>VLOOKUP(Sheet1!$D428,Customers!$A$1:$D$51,2,TRUE)</f>
        <v>42</v>
      </c>
      <c r="G428" s="3" t="str">
        <f>VLOOKUP(Sheet1!$D428,Customers!$A$1:$D$51,3,TRUE)</f>
        <v>Male</v>
      </c>
      <c r="H428" s="3" t="str">
        <f>VLOOKUP(Sheet1!$D428,Customers!$A$1:$D$51,4,TRUE)</f>
        <v>Hyderabad</v>
      </c>
      <c r="I428" s="3" t="str">
        <f>VLOOKUP($C428,Products!$A$1:$E$21,2,TRUE)</f>
        <v>Desk Lamp</v>
      </c>
      <c r="J428" s="3" t="str">
        <f>VLOOKUP($C428,Products!$A$1:$E$21,3,TRUE)</f>
        <v>Office</v>
      </c>
      <c r="K428" s="4">
        <f>VLOOKUP($C428,Products!$A$1:$E$21,4,TRUE)</f>
        <v>140</v>
      </c>
      <c r="L428" s="4">
        <f>VLOOKUP($C428,Products!$A$1:$E$21,5,TRUE)</f>
        <v>390</v>
      </c>
      <c r="M428" s="4">
        <f t="shared" si="48"/>
        <v>700</v>
      </c>
      <c r="N428" s="4">
        <f t="shared" si="49"/>
        <v>1950</v>
      </c>
      <c r="O428" s="4">
        <f t="shared" si="50"/>
        <v>1250</v>
      </c>
      <c r="P428" s="5">
        <f t="shared" si="51"/>
        <v>0.64102564102564108</v>
      </c>
      <c r="Q428" s="3" t="str">
        <f t="shared" si="52"/>
        <v>Medium_order</v>
      </c>
      <c r="R428" s="3" t="str">
        <f t="shared" si="53"/>
        <v>Senior</v>
      </c>
      <c r="S428" s="11" t="str">
        <f t="shared" si="54"/>
        <v>High_profit</v>
      </c>
      <c r="T428" s="13" t="str">
        <f t="shared" si="55"/>
        <v>Feb</v>
      </c>
    </row>
    <row r="429" spans="1:20" x14ac:dyDescent="0.3">
      <c r="A429" s="9">
        <v>45392</v>
      </c>
      <c r="B429" s="3">
        <v>3428</v>
      </c>
      <c r="C429" s="3">
        <v>1014</v>
      </c>
      <c r="D429" s="3">
        <v>2024</v>
      </c>
      <c r="E429" s="3">
        <v>10</v>
      </c>
      <c r="F429" s="3">
        <f>VLOOKUP(Sheet1!$D429,Customers!$A$1:$D$51,2,TRUE)</f>
        <v>26</v>
      </c>
      <c r="G429" s="3" t="str">
        <f>VLOOKUP(Sheet1!$D429,Customers!$A$1:$D$51,3,TRUE)</f>
        <v>Female</v>
      </c>
      <c r="H429" s="3" t="str">
        <f>VLOOKUP(Sheet1!$D429,Customers!$A$1:$D$51,4,TRUE)</f>
        <v>Delhi</v>
      </c>
      <c r="I429" s="3" t="str">
        <f>VLOOKUP($C429,Products!$A$1:$E$21,2,TRUE)</f>
        <v>Stapler</v>
      </c>
      <c r="J429" s="3" t="str">
        <f>VLOOKUP($C429,Products!$A$1:$E$21,3,TRUE)</f>
        <v>Office</v>
      </c>
      <c r="K429" s="4">
        <f>VLOOKUP($C429,Products!$A$1:$E$21,4,TRUE)</f>
        <v>170</v>
      </c>
      <c r="L429" s="4">
        <f>VLOOKUP($C429,Products!$A$1:$E$21,5,TRUE)</f>
        <v>280</v>
      </c>
      <c r="M429" s="4">
        <f t="shared" si="48"/>
        <v>1700</v>
      </c>
      <c r="N429" s="4">
        <f t="shared" si="49"/>
        <v>2800</v>
      </c>
      <c r="O429" s="4">
        <f t="shared" si="50"/>
        <v>1100</v>
      </c>
      <c r="P429" s="5">
        <f t="shared" si="51"/>
        <v>0.39285714285714285</v>
      </c>
      <c r="Q429" s="3" t="str">
        <f t="shared" si="52"/>
        <v>High_order</v>
      </c>
      <c r="R429" s="3" t="str">
        <f t="shared" si="53"/>
        <v>Young</v>
      </c>
      <c r="S429" s="11" t="str">
        <f t="shared" si="54"/>
        <v>Medium_profit</v>
      </c>
      <c r="T429" s="13" t="str">
        <f t="shared" si="55"/>
        <v>Apr</v>
      </c>
    </row>
    <row r="430" spans="1:20" x14ac:dyDescent="0.3">
      <c r="A430" s="9">
        <v>45393</v>
      </c>
      <c r="B430" s="3">
        <v>3429</v>
      </c>
      <c r="C430" s="3">
        <v>1015</v>
      </c>
      <c r="D430" s="3">
        <v>2014</v>
      </c>
      <c r="E430" s="3">
        <v>9</v>
      </c>
      <c r="F430" s="3">
        <f>VLOOKUP(Sheet1!$D430,Customers!$A$1:$D$51,2,TRUE)</f>
        <v>58</v>
      </c>
      <c r="G430" s="3" t="str">
        <f>VLOOKUP(Sheet1!$D430,Customers!$A$1:$D$51,3,TRUE)</f>
        <v>Female</v>
      </c>
      <c r="H430" s="3" t="str">
        <f>VLOOKUP(Sheet1!$D430,Customers!$A$1:$D$51,4,TRUE)</f>
        <v>Chandigarh</v>
      </c>
      <c r="I430" s="3" t="str">
        <f>VLOOKUP($C430,Products!$A$1:$E$21,2,TRUE)</f>
        <v>Organizer</v>
      </c>
      <c r="J430" s="3" t="str">
        <f>VLOOKUP($C430,Products!$A$1:$E$21,3,TRUE)</f>
        <v>Office</v>
      </c>
      <c r="K430" s="4">
        <f>VLOOKUP($C430,Products!$A$1:$E$21,4,TRUE)</f>
        <v>70</v>
      </c>
      <c r="L430" s="4">
        <f>VLOOKUP($C430,Products!$A$1:$E$21,5,TRUE)</f>
        <v>210</v>
      </c>
      <c r="M430" s="4">
        <f t="shared" si="48"/>
        <v>630</v>
      </c>
      <c r="N430" s="4">
        <f t="shared" si="49"/>
        <v>1890</v>
      </c>
      <c r="O430" s="4">
        <f t="shared" si="50"/>
        <v>1260</v>
      </c>
      <c r="P430" s="5">
        <f t="shared" si="51"/>
        <v>0.66666666666666663</v>
      </c>
      <c r="Q430" s="3" t="str">
        <f t="shared" si="52"/>
        <v>Medium_order</v>
      </c>
      <c r="R430" s="3" t="str">
        <f t="shared" si="53"/>
        <v>Senior</v>
      </c>
      <c r="S430" s="11" t="str">
        <f t="shared" si="54"/>
        <v>High_profit</v>
      </c>
      <c r="T430" s="13" t="str">
        <f t="shared" si="55"/>
        <v>Apr</v>
      </c>
    </row>
    <row r="431" spans="1:20" x14ac:dyDescent="0.3">
      <c r="A431" s="9">
        <v>45597</v>
      </c>
      <c r="B431" s="3">
        <v>3430</v>
      </c>
      <c r="C431" s="3">
        <v>1009</v>
      </c>
      <c r="D431" s="3">
        <v>2030</v>
      </c>
      <c r="E431" s="3">
        <v>6</v>
      </c>
      <c r="F431" s="3">
        <f>VLOOKUP(Sheet1!$D431,Customers!$A$1:$D$51,2,TRUE)</f>
        <v>46</v>
      </c>
      <c r="G431" s="3" t="str">
        <f>VLOOKUP(Sheet1!$D431,Customers!$A$1:$D$51,3,TRUE)</f>
        <v>Female</v>
      </c>
      <c r="H431" s="3" t="str">
        <f>VLOOKUP(Sheet1!$D431,Customers!$A$1:$D$51,4,TRUE)</f>
        <v>Bangalore</v>
      </c>
      <c r="I431" s="3" t="str">
        <f>VLOOKUP($C431,Products!$A$1:$E$21,2,TRUE)</f>
        <v>Power Bank</v>
      </c>
      <c r="J431" s="3" t="str">
        <f>VLOOKUP($C431,Products!$A$1:$E$21,3,TRUE)</f>
        <v>Accessories</v>
      </c>
      <c r="K431" s="4">
        <f>VLOOKUP($C431,Products!$A$1:$E$21,4,TRUE)</f>
        <v>50</v>
      </c>
      <c r="L431" s="4">
        <f>VLOOKUP($C431,Products!$A$1:$E$21,5,TRUE)</f>
        <v>220</v>
      </c>
      <c r="M431" s="4">
        <f t="shared" si="48"/>
        <v>300</v>
      </c>
      <c r="N431" s="4">
        <f t="shared" si="49"/>
        <v>1320</v>
      </c>
      <c r="O431" s="4">
        <f t="shared" si="50"/>
        <v>1020</v>
      </c>
      <c r="P431" s="5">
        <f t="shared" si="51"/>
        <v>0.77272727272727271</v>
      </c>
      <c r="Q431" s="3" t="str">
        <f t="shared" si="52"/>
        <v>Medium_order</v>
      </c>
      <c r="R431" s="3" t="str">
        <f t="shared" si="53"/>
        <v>Senior</v>
      </c>
      <c r="S431" s="11" t="str">
        <f t="shared" si="54"/>
        <v>High_profit</v>
      </c>
      <c r="T431" s="13" t="str">
        <f t="shared" si="55"/>
        <v>Nov</v>
      </c>
    </row>
    <row r="432" spans="1:20" x14ac:dyDescent="0.3">
      <c r="A432" s="9">
        <v>45567</v>
      </c>
      <c r="B432" s="3">
        <v>3431</v>
      </c>
      <c r="C432" s="3">
        <v>1018</v>
      </c>
      <c r="D432" s="3">
        <v>2027</v>
      </c>
      <c r="E432" s="3">
        <v>1</v>
      </c>
      <c r="F432" s="3">
        <f>VLOOKUP(Sheet1!$D432,Customers!$A$1:$D$51,2,TRUE)</f>
        <v>27</v>
      </c>
      <c r="G432" s="3" t="str">
        <f>VLOOKUP(Sheet1!$D432,Customers!$A$1:$D$51,3,TRUE)</f>
        <v>Female</v>
      </c>
      <c r="H432" s="3" t="str">
        <f>VLOOKUP(Sheet1!$D432,Customers!$A$1:$D$51,4,TRUE)</f>
        <v>Chandigarh</v>
      </c>
      <c r="I432" s="3" t="str">
        <f>VLOOKUP($C432,Products!$A$1:$E$21,2,TRUE)</f>
        <v>Resistance Band</v>
      </c>
      <c r="J432" s="3" t="str">
        <f>VLOOKUP($C432,Products!$A$1:$E$21,3,TRUE)</f>
        <v>Fitness</v>
      </c>
      <c r="K432" s="4">
        <f>VLOOKUP($C432,Products!$A$1:$E$21,4,TRUE)</f>
        <v>310</v>
      </c>
      <c r="L432" s="4">
        <f>VLOOKUP($C432,Products!$A$1:$E$21,5,TRUE)</f>
        <v>480</v>
      </c>
      <c r="M432" s="4">
        <f t="shared" si="48"/>
        <v>310</v>
      </c>
      <c r="N432" s="4">
        <f t="shared" si="49"/>
        <v>480</v>
      </c>
      <c r="O432" s="4">
        <f t="shared" si="50"/>
        <v>170</v>
      </c>
      <c r="P432" s="5">
        <f t="shared" si="51"/>
        <v>0.35416666666666669</v>
      </c>
      <c r="Q432" s="3" t="str">
        <f t="shared" si="52"/>
        <v>Low_order</v>
      </c>
      <c r="R432" s="3" t="str">
        <f t="shared" si="53"/>
        <v>Young</v>
      </c>
      <c r="S432" s="11" t="str">
        <f t="shared" si="54"/>
        <v>Medium_profit</v>
      </c>
      <c r="T432" s="13" t="str">
        <f t="shared" si="55"/>
        <v>Oct</v>
      </c>
    </row>
    <row r="433" spans="1:20" x14ac:dyDescent="0.3">
      <c r="A433" s="9">
        <v>45365</v>
      </c>
      <c r="B433" s="3">
        <v>3432</v>
      </c>
      <c r="C433" s="3">
        <v>1001</v>
      </c>
      <c r="D433" s="3">
        <v>2016</v>
      </c>
      <c r="E433" s="3">
        <v>8</v>
      </c>
      <c r="F433" s="3">
        <f>VLOOKUP(Sheet1!$D433,Customers!$A$1:$D$51,2,TRUE)</f>
        <v>29</v>
      </c>
      <c r="G433" s="3" t="str">
        <f>VLOOKUP(Sheet1!$D433,Customers!$A$1:$D$51,3,TRUE)</f>
        <v>Female</v>
      </c>
      <c r="H433" s="3" t="str">
        <f>VLOOKUP(Sheet1!$D433,Customers!$A$1:$D$51,4,TRUE)</f>
        <v>Chandigarh</v>
      </c>
      <c r="I433" s="3" t="str">
        <f>VLOOKUP($C433,Products!$A$1:$E$21,2,TRUE)</f>
        <v>Headphones</v>
      </c>
      <c r="J433" s="3" t="str">
        <f>VLOOKUP($C433,Products!$A$1:$E$21,3,TRUE)</f>
        <v>Electronics</v>
      </c>
      <c r="K433" s="4">
        <f>VLOOKUP($C433,Products!$A$1:$E$21,4,TRUE)</f>
        <v>380</v>
      </c>
      <c r="L433" s="4">
        <f>VLOOKUP($C433,Products!$A$1:$E$21,5,TRUE)</f>
        <v>550</v>
      </c>
      <c r="M433" s="4">
        <f t="shared" si="48"/>
        <v>3040</v>
      </c>
      <c r="N433" s="4">
        <f t="shared" si="49"/>
        <v>4400</v>
      </c>
      <c r="O433" s="4">
        <f t="shared" si="50"/>
        <v>1360</v>
      </c>
      <c r="P433" s="5">
        <f t="shared" si="51"/>
        <v>0.30909090909090908</v>
      </c>
      <c r="Q433" s="3" t="str">
        <f t="shared" si="52"/>
        <v>High_order</v>
      </c>
      <c r="R433" s="3" t="str">
        <f t="shared" si="53"/>
        <v>Young</v>
      </c>
      <c r="S433" s="11" t="str">
        <f t="shared" si="54"/>
        <v>Low_profit</v>
      </c>
      <c r="T433" s="13" t="str">
        <f t="shared" si="55"/>
        <v>Mar</v>
      </c>
    </row>
    <row r="434" spans="1:20" x14ac:dyDescent="0.3">
      <c r="A434" s="9">
        <v>45409</v>
      </c>
      <c r="B434" s="3">
        <v>3433</v>
      </c>
      <c r="C434" s="3">
        <v>1011</v>
      </c>
      <c r="D434" s="3">
        <v>2039</v>
      </c>
      <c r="E434" s="3">
        <v>4</v>
      </c>
      <c r="F434" s="3">
        <f>VLOOKUP(Sheet1!$D434,Customers!$A$1:$D$51,2,TRUE)</f>
        <v>52</v>
      </c>
      <c r="G434" s="3" t="str">
        <f>VLOOKUP(Sheet1!$D434,Customers!$A$1:$D$51,3,TRUE)</f>
        <v>Female</v>
      </c>
      <c r="H434" s="3" t="str">
        <f>VLOOKUP(Sheet1!$D434,Customers!$A$1:$D$51,4,TRUE)</f>
        <v>Delhi</v>
      </c>
      <c r="I434" s="3" t="str">
        <f>VLOOKUP($C434,Products!$A$1:$E$21,2,TRUE)</f>
        <v>Notebook</v>
      </c>
      <c r="J434" s="3" t="str">
        <f>VLOOKUP($C434,Products!$A$1:$E$21,3,TRUE)</f>
        <v>Office</v>
      </c>
      <c r="K434" s="4">
        <f>VLOOKUP($C434,Products!$A$1:$E$21,4,TRUE)</f>
        <v>120</v>
      </c>
      <c r="L434" s="4">
        <f>VLOOKUP($C434,Products!$A$1:$E$21,5,TRUE)</f>
        <v>180</v>
      </c>
      <c r="M434" s="4">
        <f t="shared" si="48"/>
        <v>480</v>
      </c>
      <c r="N434" s="4">
        <f t="shared" si="49"/>
        <v>720</v>
      </c>
      <c r="O434" s="4">
        <f t="shared" si="50"/>
        <v>240</v>
      </c>
      <c r="P434" s="5">
        <f t="shared" si="51"/>
        <v>0.33333333333333331</v>
      </c>
      <c r="Q434" s="3" t="str">
        <f t="shared" si="52"/>
        <v>Low_order</v>
      </c>
      <c r="R434" s="3" t="str">
        <f t="shared" si="53"/>
        <v>Senior</v>
      </c>
      <c r="S434" s="11" t="str">
        <f t="shared" si="54"/>
        <v>Medium_profit</v>
      </c>
      <c r="T434" s="13" t="str">
        <f t="shared" si="55"/>
        <v>Apr</v>
      </c>
    </row>
    <row r="435" spans="1:20" x14ac:dyDescent="0.3">
      <c r="A435" s="9">
        <v>45483</v>
      </c>
      <c r="B435" s="3">
        <v>3434</v>
      </c>
      <c r="C435" s="3">
        <v>1017</v>
      </c>
      <c r="D435" s="3">
        <v>2021</v>
      </c>
      <c r="E435" s="3">
        <v>3</v>
      </c>
      <c r="F435" s="3">
        <f>VLOOKUP(Sheet1!$D435,Customers!$A$1:$D$51,2,TRUE)</f>
        <v>28</v>
      </c>
      <c r="G435" s="3" t="str">
        <f>VLOOKUP(Sheet1!$D435,Customers!$A$1:$D$51,3,TRUE)</f>
        <v>Male</v>
      </c>
      <c r="H435" s="3" t="str">
        <f>VLOOKUP(Sheet1!$D435,Customers!$A$1:$D$51,4,TRUE)</f>
        <v>Delhi</v>
      </c>
      <c r="I435" s="3" t="str">
        <f>VLOOKUP($C435,Products!$A$1:$E$21,2,TRUE)</f>
        <v>Dumbbells</v>
      </c>
      <c r="J435" s="3" t="str">
        <f>VLOOKUP($C435,Products!$A$1:$E$21,3,TRUE)</f>
        <v>Fitness</v>
      </c>
      <c r="K435" s="4">
        <f>VLOOKUP($C435,Products!$A$1:$E$21,4,TRUE)</f>
        <v>120</v>
      </c>
      <c r="L435" s="4">
        <f>VLOOKUP($C435,Products!$A$1:$E$21,5,TRUE)</f>
        <v>200</v>
      </c>
      <c r="M435" s="4">
        <f t="shared" si="48"/>
        <v>360</v>
      </c>
      <c r="N435" s="4">
        <f t="shared" si="49"/>
        <v>600</v>
      </c>
      <c r="O435" s="4">
        <f t="shared" si="50"/>
        <v>240</v>
      </c>
      <c r="P435" s="5">
        <f t="shared" si="51"/>
        <v>0.4</v>
      </c>
      <c r="Q435" s="3" t="str">
        <f t="shared" si="52"/>
        <v>Low_order</v>
      </c>
      <c r="R435" s="3" t="str">
        <f t="shared" si="53"/>
        <v>Young</v>
      </c>
      <c r="S435" s="11" t="str">
        <f t="shared" si="54"/>
        <v>Medium_profit</v>
      </c>
      <c r="T435" s="13" t="str">
        <f t="shared" si="55"/>
        <v>Jul</v>
      </c>
    </row>
    <row r="436" spans="1:20" x14ac:dyDescent="0.3">
      <c r="A436" s="9">
        <v>45304</v>
      </c>
      <c r="B436" s="3">
        <v>3435</v>
      </c>
      <c r="C436" s="3">
        <v>1003</v>
      </c>
      <c r="D436" s="3">
        <v>2031</v>
      </c>
      <c r="E436" s="3">
        <v>5</v>
      </c>
      <c r="F436" s="3">
        <f>VLOOKUP(Sheet1!$D436,Customers!$A$1:$D$51,2,TRUE)</f>
        <v>38</v>
      </c>
      <c r="G436" s="3" t="str">
        <f>VLOOKUP(Sheet1!$D436,Customers!$A$1:$D$51,3,TRUE)</f>
        <v>Male</v>
      </c>
      <c r="H436" s="3" t="str">
        <f>VLOOKUP(Sheet1!$D436,Customers!$A$1:$D$51,4,TRUE)</f>
        <v>Bangalore</v>
      </c>
      <c r="I436" s="3" t="str">
        <f>VLOOKUP($C436,Products!$A$1:$E$21,2,TRUE)</f>
        <v>Mouse</v>
      </c>
      <c r="J436" s="3" t="str">
        <f>VLOOKUP($C436,Products!$A$1:$E$21,3,TRUE)</f>
        <v>Electronics</v>
      </c>
      <c r="K436" s="4">
        <f>VLOOKUP($C436,Products!$A$1:$E$21,4,TRUE)</f>
        <v>140</v>
      </c>
      <c r="L436" s="4">
        <f>VLOOKUP($C436,Products!$A$1:$E$21,5,TRUE)</f>
        <v>350</v>
      </c>
      <c r="M436" s="4">
        <f t="shared" si="48"/>
        <v>700</v>
      </c>
      <c r="N436" s="4">
        <f t="shared" si="49"/>
        <v>1750</v>
      </c>
      <c r="O436" s="4">
        <f t="shared" si="50"/>
        <v>1050</v>
      </c>
      <c r="P436" s="5">
        <f t="shared" si="51"/>
        <v>0.6</v>
      </c>
      <c r="Q436" s="3" t="str">
        <f t="shared" si="52"/>
        <v>Medium_order</v>
      </c>
      <c r="R436" s="3" t="str">
        <f t="shared" si="53"/>
        <v>Middle_age</v>
      </c>
      <c r="S436" s="11" t="str">
        <f t="shared" si="54"/>
        <v>High_profit</v>
      </c>
      <c r="T436" s="13" t="str">
        <f t="shared" si="55"/>
        <v>Jan</v>
      </c>
    </row>
    <row r="437" spans="1:20" x14ac:dyDescent="0.3">
      <c r="A437" s="9">
        <v>45531</v>
      </c>
      <c r="B437" s="3">
        <v>3436</v>
      </c>
      <c r="C437" s="3">
        <v>1003</v>
      </c>
      <c r="D437" s="3">
        <v>2036</v>
      </c>
      <c r="E437" s="3">
        <v>9</v>
      </c>
      <c r="F437" s="3">
        <f>VLOOKUP(Sheet1!$D437,Customers!$A$1:$D$51,2,TRUE)</f>
        <v>30</v>
      </c>
      <c r="G437" s="3" t="str">
        <f>VLOOKUP(Sheet1!$D437,Customers!$A$1:$D$51,3,TRUE)</f>
        <v>Male</v>
      </c>
      <c r="H437" s="3" t="str">
        <f>VLOOKUP(Sheet1!$D437,Customers!$A$1:$D$51,4,TRUE)</f>
        <v>Delhi</v>
      </c>
      <c r="I437" s="3" t="str">
        <f>VLOOKUP($C437,Products!$A$1:$E$21,2,TRUE)</f>
        <v>Mouse</v>
      </c>
      <c r="J437" s="3" t="str">
        <f>VLOOKUP($C437,Products!$A$1:$E$21,3,TRUE)</f>
        <v>Electronics</v>
      </c>
      <c r="K437" s="4">
        <f>VLOOKUP($C437,Products!$A$1:$E$21,4,TRUE)</f>
        <v>140</v>
      </c>
      <c r="L437" s="4">
        <f>VLOOKUP($C437,Products!$A$1:$E$21,5,TRUE)</f>
        <v>350</v>
      </c>
      <c r="M437" s="4">
        <f t="shared" si="48"/>
        <v>1260</v>
      </c>
      <c r="N437" s="4">
        <f t="shared" si="49"/>
        <v>3150</v>
      </c>
      <c r="O437" s="4">
        <f t="shared" si="50"/>
        <v>1890</v>
      </c>
      <c r="P437" s="5">
        <f t="shared" si="51"/>
        <v>0.6</v>
      </c>
      <c r="Q437" s="3" t="str">
        <f t="shared" si="52"/>
        <v>High_order</v>
      </c>
      <c r="R437" s="3" t="str">
        <f t="shared" si="53"/>
        <v>Young</v>
      </c>
      <c r="S437" s="11" t="str">
        <f t="shared" si="54"/>
        <v>High_profit</v>
      </c>
      <c r="T437" s="13" t="str">
        <f t="shared" si="55"/>
        <v>Aug</v>
      </c>
    </row>
    <row r="438" spans="1:20" x14ac:dyDescent="0.3">
      <c r="A438" s="9">
        <v>45624</v>
      </c>
      <c r="B438" s="3">
        <v>3437</v>
      </c>
      <c r="C438" s="3">
        <v>1014</v>
      </c>
      <c r="D438" s="3">
        <v>2014</v>
      </c>
      <c r="E438" s="3">
        <v>3</v>
      </c>
      <c r="F438" s="3">
        <f>VLOOKUP(Sheet1!$D438,Customers!$A$1:$D$51,2,TRUE)</f>
        <v>58</v>
      </c>
      <c r="G438" s="3" t="str">
        <f>VLOOKUP(Sheet1!$D438,Customers!$A$1:$D$51,3,TRUE)</f>
        <v>Female</v>
      </c>
      <c r="H438" s="3" t="str">
        <f>VLOOKUP(Sheet1!$D438,Customers!$A$1:$D$51,4,TRUE)</f>
        <v>Chandigarh</v>
      </c>
      <c r="I438" s="3" t="str">
        <f>VLOOKUP($C438,Products!$A$1:$E$21,2,TRUE)</f>
        <v>Stapler</v>
      </c>
      <c r="J438" s="3" t="str">
        <f>VLOOKUP($C438,Products!$A$1:$E$21,3,TRUE)</f>
        <v>Office</v>
      </c>
      <c r="K438" s="4">
        <f>VLOOKUP($C438,Products!$A$1:$E$21,4,TRUE)</f>
        <v>170</v>
      </c>
      <c r="L438" s="4">
        <f>VLOOKUP($C438,Products!$A$1:$E$21,5,TRUE)</f>
        <v>280</v>
      </c>
      <c r="M438" s="4">
        <f t="shared" si="48"/>
        <v>510</v>
      </c>
      <c r="N438" s="4">
        <f t="shared" si="49"/>
        <v>840</v>
      </c>
      <c r="O438" s="4">
        <f t="shared" si="50"/>
        <v>330</v>
      </c>
      <c r="P438" s="5">
        <f t="shared" si="51"/>
        <v>0.39285714285714285</v>
      </c>
      <c r="Q438" s="3" t="str">
        <f t="shared" si="52"/>
        <v>Low_order</v>
      </c>
      <c r="R438" s="3" t="str">
        <f t="shared" si="53"/>
        <v>Senior</v>
      </c>
      <c r="S438" s="11" t="str">
        <f t="shared" si="54"/>
        <v>Medium_profit</v>
      </c>
      <c r="T438" s="13" t="str">
        <f t="shared" si="55"/>
        <v>Nov</v>
      </c>
    </row>
    <row r="439" spans="1:20" x14ac:dyDescent="0.3">
      <c r="A439" s="9">
        <v>45401</v>
      </c>
      <c r="B439" s="3">
        <v>3438</v>
      </c>
      <c r="C439" s="3">
        <v>1019</v>
      </c>
      <c r="D439" s="3">
        <v>2038</v>
      </c>
      <c r="E439" s="3">
        <v>4</v>
      </c>
      <c r="F439" s="3">
        <f>VLOOKUP(Sheet1!$D439,Customers!$A$1:$D$51,2,TRUE)</f>
        <v>22</v>
      </c>
      <c r="G439" s="3" t="str">
        <f>VLOOKUP(Sheet1!$D439,Customers!$A$1:$D$51,3,TRUE)</f>
        <v>Male</v>
      </c>
      <c r="H439" s="3" t="str">
        <f>VLOOKUP(Sheet1!$D439,Customers!$A$1:$D$51,4,TRUE)</f>
        <v>Bangalore</v>
      </c>
      <c r="I439" s="3" t="str">
        <f>VLOOKUP($C439,Products!$A$1:$E$21,2,TRUE)</f>
        <v>Skipping Rope</v>
      </c>
      <c r="J439" s="3" t="str">
        <f>VLOOKUP($C439,Products!$A$1:$E$21,3,TRUE)</f>
        <v>Fitness</v>
      </c>
      <c r="K439" s="4">
        <f>VLOOKUP($C439,Products!$A$1:$E$21,4,TRUE)</f>
        <v>140</v>
      </c>
      <c r="L439" s="4">
        <f>VLOOKUP($C439,Products!$A$1:$E$21,5,TRUE)</f>
        <v>270</v>
      </c>
      <c r="M439" s="4">
        <f t="shared" si="48"/>
        <v>560</v>
      </c>
      <c r="N439" s="4">
        <f t="shared" si="49"/>
        <v>1080</v>
      </c>
      <c r="O439" s="4">
        <f t="shared" si="50"/>
        <v>520</v>
      </c>
      <c r="P439" s="5">
        <f t="shared" si="51"/>
        <v>0.48148148148148145</v>
      </c>
      <c r="Q439" s="3" t="str">
        <f t="shared" si="52"/>
        <v>Low_order</v>
      </c>
      <c r="R439" s="3" t="str">
        <f t="shared" si="53"/>
        <v>Young</v>
      </c>
      <c r="S439" s="11" t="str">
        <f t="shared" si="54"/>
        <v>High_profit</v>
      </c>
      <c r="T439" s="13" t="str">
        <f t="shared" si="55"/>
        <v>Apr</v>
      </c>
    </row>
    <row r="440" spans="1:20" x14ac:dyDescent="0.3">
      <c r="A440" s="9">
        <v>45312</v>
      </c>
      <c r="B440" s="3">
        <v>3439</v>
      </c>
      <c r="C440" s="3">
        <v>1004</v>
      </c>
      <c r="D440" s="3">
        <v>2032</v>
      </c>
      <c r="E440" s="3">
        <v>2</v>
      </c>
      <c r="F440" s="3">
        <f>VLOOKUP(Sheet1!$D440,Customers!$A$1:$D$51,2,TRUE)</f>
        <v>42</v>
      </c>
      <c r="G440" s="3" t="str">
        <f>VLOOKUP(Sheet1!$D440,Customers!$A$1:$D$51,3,TRUE)</f>
        <v>Male</v>
      </c>
      <c r="H440" s="3" t="str">
        <f>VLOOKUP(Sheet1!$D440,Customers!$A$1:$D$51,4,TRUE)</f>
        <v>Hyderabad</v>
      </c>
      <c r="I440" s="3" t="str">
        <f>VLOOKUP($C440,Products!$A$1:$E$21,2,TRUE)</f>
        <v>Speaker</v>
      </c>
      <c r="J440" s="3" t="str">
        <f>VLOOKUP($C440,Products!$A$1:$E$21,3,TRUE)</f>
        <v>Electronics</v>
      </c>
      <c r="K440" s="4">
        <f>VLOOKUP($C440,Products!$A$1:$E$21,4,TRUE)</f>
        <v>230</v>
      </c>
      <c r="L440" s="4">
        <f>VLOOKUP($C440,Products!$A$1:$E$21,5,TRUE)</f>
        <v>440</v>
      </c>
      <c r="M440" s="4">
        <f t="shared" si="48"/>
        <v>460</v>
      </c>
      <c r="N440" s="4">
        <f t="shared" si="49"/>
        <v>880</v>
      </c>
      <c r="O440" s="4">
        <f t="shared" si="50"/>
        <v>420</v>
      </c>
      <c r="P440" s="5">
        <f t="shared" si="51"/>
        <v>0.47727272727272729</v>
      </c>
      <c r="Q440" s="3" t="str">
        <f t="shared" si="52"/>
        <v>Low_order</v>
      </c>
      <c r="R440" s="3" t="str">
        <f t="shared" si="53"/>
        <v>Senior</v>
      </c>
      <c r="S440" s="11" t="str">
        <f t="shared" si="54"/>
        <v>High_profit</v>
      </c>
      <c r="T440" s="13" t="str">
        <f t="shared" si="55"/>
        <v>Jan</v>
      </c>
    </row>
    <row r="441" spans="1:20" x14ac:dyDescent="0.3">
      <c r="A441" s="9">
        <v>45525</v>
      </c>
      <c r="B441" s="3">
        <v>3440</v>
      </c>
      <c r="C441" s="3">
        <v>1013</v>
      </c>
      <c r="D441" s="3">
        <v>2035</v>
      </c>
      <c r="E441" s="3">
        <v>5</v>
      </c>
      <c r="F441" s="3">
        <f>VLOOKUP(Sheet1!$D441,Customers!$A$1:$D$51,2,TRUE)</f>
        <v>37</v>
      </c>
      <c r="G441" s="3" t="str">
        <f>VLOOKUP(Sheet1!$D441,Customers!$A$1:$D$51,3,TRUE)</f>
        <v>Female</v>
      </c>
      <c r="H441" s="3" t="str">
        <f>VLOOKUP(Sheet1!$D441,Customers!$A$1:$D$51,4,TRUE)</f>
        <v>Delhi</v>
      </c>
      <c r="I441" s="3" t="str">
        <f>VLOOKUP($C441,Products!$A$1:$E$21,2,TRUE)</f>
        <v>Desk Lamp</v>
      </c>
      <c r="J441" s="3" t="str">
        <f>VLOOKUP($C441,Products!$A$1:$E$21,3,TRUE)</f>
        <v>Office</v>
      </c>
      <c r="K441" s="4">
        <f>VLOOKUP($C441,Products!$A$1:$E$21,4,TRUE)</f>
        <v>140</v>
      </c>
      <c r="L441" s="4">
        <f>VLOOKUP($C441,Products!$A$1:$E$21,5,TRUE)</f>
        <v>390</v>
      </c>
      <c r="M441" s="4">
        <f t="shared" si="48"/>
        <v>700</v>
      </c>
      <c r="N441" s="4">
        <f t="shared" si="49"/>
        <v>1950</v>
      </c>
      <c r="O441" s="4">
        <f t="shared" si="50"/>
        <v>1250</v>
      </c>
      <c r="P441" s="5">
        <f t="shared" si="51"/>
        <v>0.64102564102564108</v>
      </c>
      <c r="Q441" s="3" t="str">
        <f t="shared" si="52"/>
        <v>Medium_order</v>
      </c>
      <c r="R441" s="3" t="str">
        <f t="shared" si="53"/>
        <v>Middle_age</v>
      </c>
      <c r="S441" s="11" t="str">
        <f t="shared" si="54"/>
        <v>High_profit</v>
      </c>
      <c r="T441" s="13" t="str">
        <f t="shared" si="55"/>
        <v>Aug</v>
      </c>
    </row>
    <row r="442" spans="1:20" x14ac:dyDescent="0.3">
      <c r="A442" s="9">
        <v>45578</v>
      </c>
      <c r="B442" s="3">
        <v>3441</v>
      </c>
      <c r="C442" s="3">
        <v>1012</v>
      </c>
      <c r="D442" s="3">
        <v>2004</v>
      </c>
      <c r="E442" s="3">
        <v>5</v>
      </c>
      <c r="F442" s="3">
        <f>VLOOKUP(Sheet1!$D442,Customers!$A$1:$D$51,2,TRUE)</f>
        <v>25</v>
      </c>
      <c r="G442" s="3" t="str">
        <f>VLOOKUP(Sheet1!$D442,Customers!$A$1:$D$51,3,TRUE)</f>
        <v>Male</v>
      </c>
      <c r="H442" s="3" t="str">
        <f>VLOOKUP(Sheet1!$D442,Customers!$A$1:$D$51,4,TRUE)</f>
        <v>Pune</v>
      </c>
      <c r="I442" s="3" t="str">
        <f>VLOOKUP($C442,Products!$A$1:$E$21,2,TRUE)</f>
        <v>Pen Set</v>
      </c>
      <c r="J442" s="3" t="str">
        <f>VLOOKUP($C442,Products!$A$1:$E$21,3,TRUE)</f>
        <v>Office</v>
      </c>
      <c r="K442" s="4">
        <f>VLOOKUP($C442,Products!$A$1:$E$21,4,TRUE)</f>
        <v>380</v>
      </c>
      <c r="L442" s="4">
        <f>VLOOKUP($C442,Products!$A$1:$E$21,5,TRUE)</f>
        <v>510</v>
      </c>
      <c r="M442" s="4">
        <f t="shared" si="48"/>
        <v>1900</v>
      </c>
      <c r="N442" s="4">
        <f t="shared" si="49"/>
        <v>2550</v>
      </c>
      <c r="O442" s="4">
        <f t="shared" si="50"/>
        <v>650</v>
      </c>
      <c r="P442" s="5">
        <f t="shared" si="51"/>
        <v>0.25490196078431371</v>
      </c>
      <c r="Q442" s="3" t="str">
        <f t="shared" si="52"/>
        <v>High_order</v>
      </c>
      <c r="R442" s="3" t="str">
        <f t="shared" si="53"/>
        <v>Young</v>
      </c>
      <c r="S442" s="11" t="str">
        <f t="shared" si="54"/>
        <v>Low_profit</v>
      </c>
      <c r="T442" s="13" t="str">
        <f t="shared" si="55"/>
        <v>Oct</v>
      </c>
    </row>
    <row r="443" spans="1:20" x14ac:dyDescent="0.3">
      <c r="A443" s="9">
        <v>45597</v>
      </c>
      <c r="B443" s="3">
        <v>3442</v>
      </c>
      <c r="C443" s="3">
        <v>1005</v>
      </c>
      <c r="D443" s="3">
        <v>2015</v>
      </c>
      <c r="E443" s="3">
        <v>7</v>
      </c>
      <c r="F443" s="3">
        <f>VLOOKUP(Sheet1!$D443,Customers!$A$1:$D$51,2,TRUE)</f>
        <v>40</v>
      </c>
      <c r="G443" s="3" t="str">
        <f>VLOOKUP(Sheet1!$D443,Customers!$A$1:$D$51,3,TRUE)</f>
        <v>Male</v>
      </c>
      <c r="H443" s="3" t="str">
        <f>VLOOKUP(Sheet1!$D443,Customers!$A$1:$D$51,4,TRUE)</f>
        <v>Delhi</v>
      </c>
      <c r="I443" s="3" t="str">
        <f>VLOOKUP($C443,Products!$A$1:$E$21,2,TRUE)</f>
        <v>Webcam</v>
      </c>
      <c r="J443" s="3" t="str">
        <f>VLOOKUP($C443,Products!$A$1:$E$21,3,TRUE)</f>
        <v>Electronics</v>
      </c>
      <c r="K443" s="4">
        <f>VLOOKUP($C443,Products!$A$1:$E$21,4,TRUE)</f>
        <v>340</v>
      </c>
      <c r="L443" s="4">
        <f>VLOOKUP($C443,Products!$A$1:$E$21,5,TRUE)</f>
        <v>520</v>
      </c>
      <c r="M443" s="4">
        <f t="shared" si="48"/>
        <v>2380</v>
      </c>
      <c r="N443" s="4">
        <f t="shared" si="49"/>
        <v>3640</v>
      </c>
      <c r="O443" s="4">
        <f t="shared" si="50"/>
        <v>1260</v>
      </c>
      <c r="P443" s="5">
        <f t="shared" si="51"/>
        <v>0.34615384615384615</v>
      </c>
      <c r="Q443" s="3" t="str">
        <f t="shared" si="52"/>
        <v>High_order</v>
      </c>
      <c r="R443" s="3" t="str">
        <f t="shared" si="53"/>
        <v>Middle_age</v>
      </c>
      <c r="S443" s="11" t="str">
        <f t="shared" si="54"/>
        <v>Medium_profit</v>
      </c>
      <c r="T443" s="13" t="str">
        <f t="shared" si="55"/>
        <v>Nov</v>
      </c>
    </row>
    <row r="444" spans="1:20" x14ac:dyDescent="0.3">
      <c r="A444" s="9">
        <v>45635</v>
      </c>
      <c r="B444" s="3">
        <v>3443</v>
      </c>
      <c r="C444" s="3">
        <v>1020</v>
      </c>
      <c r="D444" s="3">
        <v>2014</v>
      </c>
      <c r="E444" s="3">
        <v>10</v>
      </c>
      <c r="F444" s="3">
        <f>VLOOKUP(Sheet1!$D444,Customers!$A$1:$D$51,2,TRUE)</f>
        <v>58</v>
      </c>
      <c r="G444" s="3" t="str">
        <f>VLOOKUP(Sheet1!$D444,Customers!$A$1:$D$51,3,TRUE)</f>
        <v>Female</v>
      </c>
      <c r="H444" s="3" t="str">
        <f>VLOOKUP(Sheet1!$D444,Customers!$A$1:$D$51,4,TRUE)</f>
        <v>Chandigarh</v>
      </c>
      <c r="I444" s="3" t="str">
        <f>VLOOKUP($C444,Products!$A$1:$E$21,2,TRUE)</f>
        <v>Water Bottle</v>
      </c>
      <c r="J444" s="3" t="str">
        <f>VLOOKUP($C444,Products!$A$1:$E$21,3,TRUE)</f>
        <v>Fitness</v>
      </c>
      <c r="K444" s="4">
        <f>VLOOKUP($C444,Products!$A$1:$E$21,4,TRUE)</f>
        <v>400</v>
      </c>
      <c r="L444" s="4">
        <f>VLOOKUP($C444,Products!$A$1:$E$21,5,TRUE)</f>
        <v>560</v>
      </c>
      <c r="M444" s="4">
        <f t="shared" si="48"/>
        <v>4000</v>
      </c>
      <c r="N444" s="4">
        <f t="shared" si="49"/>
        <v>5600</v>
      </c>
      <c r="O444" s="4">
        <f t="shared" si="50"/>
        <v>1600</v>
      </c>
      <c r="P444" s="5">
        <f t="shared" si="51"/>
        <v>0.2857142857142857</v>
      </c>
      <c r="Q444" s="3" t="str">
        <f t="shared" si="52"/>
        <v>High_order</v>
      </c>
      <c r="R444" s="3" t="str">
        <f t="shared" si="53"/>
        <v>Senior</v>
      </c>
      <c r="S444" s="11" t="str">
        <f t="shared" si="54"/>
        <v>Low_profit</v>
      </c>
      <c r="T444" s="13" t="str">
        <f t="shared" si="55"/>
        <v>Dec</v>
      </c>
    </row>
    <row r="445" spans="1:20" x14ac:dyDescent="0.3">
      <c r="A445" s="9">
        <v>45448</v>
      </c>
      <c r="B445" s="3">
        <v>3444</v>
      </c>
      <c r="C445" s="3">
        <v>1005</v>
      </c>
      <c r="D445" s="3">
        <v>2019</v>
      </c>
      <c r="E445" s="3">
        <v>4</v>
      </c>
      <c r="F445" s="3">
        <f>VLOOKUP(Sheet1!$D445,Customers!$A$1:$D$51,2,TRUE)</f>
        <v>57</v>
      </c>
      <c r="G445" s="3" t="str">
        <f>VLOOKUP(Sheet1!$D445,Customers!$A$1:$D$51,3,TRUE)</f>
        <v>Male</v>
      </c>
      <c r="H445" s="3" t="str">
        <f>VLOOKUP(Sheet1!$D445,Customers!$A$1:$D$51,4,TRUE)</f>
        <v>Chandigarh</v>
      </c>
      <c r="I445" s="3" t="str">
        <f>VLOOKUP($C445,Products!$A$1:$E$21,2,TRUE)</f>
        <v>Webcam</v>
      </c>
      <c r="J445" s="3" t="str">
        <f>VLOOKUP($C445,Products!$A$1:$E$21,3,TRUE)</f>
        <v>Electronics</v>
      </c>
      <c r="K445" s="4">
        <f>VLOOKUP($C445,Products!$A$1:$E$21,4,TRUE)</f>
        <v>340</v>
      </c>
      <c r="L445" s="4">
        <f>VLOOKUP($C445,Products!$A$1:$E$21,5,TRUE)</f>
        <v>520</v>
      </c>
      <c r="M445" s="4">
        <f t="shared" si="48"/>
        <v>1360</v>
      </c>
      <c r="N445" s="4">
        <f t="shared" si="49"/>
        <v>2080</v>
      </c>
      <c r="O445" s="4">
        <f t="shared" si="50"/>
        <v>720</v>
      </c>
      <c r="P445" s="5">
        <f t="shared" si="51"/>
        <v>0.34615384615384615</v>
      </c>
      <c r="Q445" s="3" t="str">
        <f t="shared" si="52"/>
        <v>Medium_order</v>
      </c>
      <c r="R445" s="3" t="str">
        <f t="shared" si="53"/>
        <v>Senior</v>
      </c>
      <c r="S445" s="11" t="str">
        <f t="shared" si="54"/>
        <v>Medium_profit</v>
      </c>
      <c r="T445" s="13" t="str">
        <f t="shared" si="55"/>
        <v>Jun</v>
      </c>
    </row>
    <row r="446" spans="1:20" x14ac:dyDescent="0.3">
      <c r="A446" s="9">
        <v>45529</v>
      </c>
      <c r="B446" s="3">
        <v>3445</v>
      </c>
      <c r="C446" s="3">
        <v>1017</v>
      </c>
      <c r="D446" s="3">
        <v>2017</v>
      </c>
      <c r="E446" s="3">
        <v>9</v>
      </c>
      <c r="F446" s="3">
        <f>VLOOKUP(Sheet1!$D446,Customers!$A$1:$D$51,2,TRUE)</f>
        <v>32</v>
      </c>
      <c r="G446" s="3" t="str">
        <f>VLOOKUP(Sheet1!$D446,Customers!$A$1:$D$51,3,TRUE)</f>
        <v>Male</v>
      </c>
      <c r="H446" s="3" t="str">
        <f>VLOOKUP(Sheet1!$D446,Customers!$A$1:$D$51,4,TRUE)</f>
        <v>Delhi</v>
      </c>
      <c r="I446" s="3" t="str">
        <f>VLOOKUP($C446,Products!$A$1:$E$21,2,TRUE)</f>
        <v>Dumbbells</v>
      </c>
      <c r="J446" s="3" t="str">
        <f>VLOOKUP($C446,Products!$A$1:$E$21,3,TRUE)</f>
        <v>Fitness</v>
      </c>
      <c r="K446" s="4">
        <f>VLOOKUP($C446,Products!$A$1:$E$21,4,TRUE)</f>
        <v>120</v>
      </c>
      <c r="L446" s="4">
        <f>VLOOKUP($C446,Products!$A$1:$E$21,5,TRUE)</f>
        <v>200</v>
      </c>
      <c r="M446" s="4">
        <f t="shared" si="48"/>
        <v>1080</v>
      </c>
      <c r="N446" s="4">
        <f t="shared" si="49"/>
        <v>1800</v>
      </c>
      <c r="O446" s="4">
        <f t="shared" si="50"/>
        <v>720</v>
      </c>
      <c r="P446" s="5">
        <f t="shared" si="51"/>
        <v>0.4</v>
      </c>
      <c r="Q446" s="3" t="str">
        <f t="shared" si="52"/>
        <v>Medium_order</v>
      </c>
      <c r="R446" s="3" t="str">
        <f t="shared" si="53"/>
        <v>Middle_age</v>
      </c>
      <c r="S446" s="11" t="str">
        <f t="shared" si="54"/>
        <v>Medium_profit</v>
      </c>
      <c r="T446" s="13" t="str">
        <f t="shared" si="55"/>
        <v>Aug</v>
      </c>
    </row>
    <row r="447" spans="1:20" x14ac:dyDescent="0.3">
      <c r="A447" s="9">
        <v>45553</v>
      </c>
      <c r="B447" s="3">
        <v>3446</v>
      </c>
      <c r="C447" s="3">
        <v>1010</v>
      </c>
      <c r="D447" s="3">
        <v>2050</v>
      </c>
      <c r="E447" s="3">
        <v>9</v>
      </c>
      <c r="F447" s="3">
        <f>VLOOKUP(Sheet1!$D447,Customers!$A$1:$D$51,2,TRUE)</f>
        <v>54</v>
      </c>
      <c r="G447" s="3" t="str">
        <f>VLOOKUP(Sheet1!$D447,Customers!$A$1:$D$51,3,TRUE)</f>
        <v>Female</v>
      </c>
      <c r="H447" s="3" t="str">
        <f>VLOOKUP(Sheet1!$D447,Customers!$A$1:$D$51,4,TRUE)</f>
        <v>Delhi</v>
      </c>
      <c r="I447" s="3" t="str">
        <f>VLOOKUP($C447,Products!$A$1:$E$21,2,TRUE)</f>
        <v>Laptop Sleeve</v>
      </c>
      <c r="J447" s="3" t="str">
        <f>VLOOKUP($C447,Products!$A$1:$E$21,3,TRUE)</f>
        <v>Accessories</v>
      </c>
      <c r="K447" s="4">
        <f>VLOOKUP($C447,Products!$A$1:$E$21,4,TRUE)</f>
        <v>290</v>
      </c>
      <c r="L447" s="4">
        <f>VLOOKUP($C447,Products!$A$1:$E$21,5,TRUE)</f>
        <v>470</v>
      </c>
      <c r="M447" s="4">
        <f t="shared" si="48"/>
        <v>2610</v>
      </c>
      <c r="N447" s="4">
        <f t="shared" si="49"/>
        <v>4230</v>
      </c>
      <c r="O447" s="4">
        <f t="shared" si="50"/>
        <v>1620</v>
      </c>
      <c r="P447" s="5">
        <f t="shared" si="51"/>
        <v>0.38297872340425532</v>
      </c>
      <c r="Q447" s="3" t="str">
        <f t="shared" si="52"/>
        <v>High_order</v>
      </c>
      <c r="R447" s="3" t="str">
        <f t="shared" si="53"/>
        <v>Senior</v>
      </c>
      <c r="S447" s="11" t="str">
        <f t="shared" si="54"/>
        <v>Medium_profit</v>
      </c>
      <c r="T447" s="13" t="str">
        <f t="shared" si="55"/>
        <v>Sep</v>
      </c>
    </row>
    <row r="448" spans="1:20" x14ac:dyDescent="0.3">
      <c r="A448" s="9">
        <v>45310</v>
      </c>
      <c r="B448" s="3">
        <v>3447</v>
      </c>
      <c r="C448" s="3">
        <v>1014</v>
      </c>
      <c r="D448" s="3">
        <v>2032</v>
      </c>
      <c r="E448" s="3">
        <v>5</v>
      </c>
      <c r="F448" s="3">
        <f>VLOOKUP(Sheet1!$D448,Customers!$A$1:$D$51,2,TRUE)</f>
        <v>42</v>
      </c>
      <c r="G448" s="3" t="str">
        <f>VLOOKUP(Sheet1!$D448,Customers!$A$1:$D$51,3,TRUE)</f>
        <v>Male</v>
      </c>
      <c r="H448" s="3" t="str">
        <f>VLOOKUP(Sheet1!$D448,Customers!$A$1:$D$51,4,TRUE)</f>
        <v>Hyderabad</v>
      </c>
      <c r="I448" s="3" t="str">
        <f>VLOOKUP($C448,Products!$A$1:$E$21,2,TRUE)</f>
        <v>Stapler</v>
      </c>
      <c r="J448" s="3" t="str">
        <f>VLOOKUP($C448,Products!$A$1:$E$21,3,TRUE)</f>
        <v>Office</v>
      </c>
      <c r="K448" s="4">
        <f>VLOOKUP($C448,Products!$A$1:$E$21,4,TRUE)</f>
        <v>170</v>
      </c>
      <c r="L448" s="4">
        <f>VLOOKUP($C448,Products!$A$1:$E$21,5,TRUE)</f>
        <v>280</v>
      </c>
      <c r="M448" s="4">
        <f t="shared" si="48"/>
        <v>850</v>
      </c>
      <c r="N448" s="4">
        <f t="shared" si="49"/>
        <v>1400</v>
      </c>
      <c r="O448" s="4">
        <f t="shared" si="50"/>
        <v>550</v>
      </c>
      <c r="P448" s="5">
        <f t="shared" si="51"/>
        <v>0.39285714285714285</v>
      </c>
      <c r="Q448" s="3" t="str">
        <f t="shared" si="52"/>
        <v>Medium_order</v>
      </c>
      <c r="R448" s="3" t="str">
        <f t="shared" si="53"/>
        <v>Senior</v>
      </c>
      <c r="S448" s="11" t="str">
        <f t="shared" si="54"/>
        <v>Medium_profit</v>
      </c>
      <c r="T448" s="13" t="str">
        <f t="shared" si="55"/>
        <v>Jan</v>
      </c>
    </row>
    <row r="449" spans="1:20" x14ac:dyDescent="0.3">
      <c r="A449" s="9">
        <v>45612</v>
      </c>
      <c r="B449" s="3">
        <v>3448</v>
      </c>
      <c r="C449" s="3">
        <v>1018</v>
      </c>
      <c r="D449" s="3">
        <v>2024</v>
      </c>
      <c r="E449" s="3">
        <v>1</v>
      </c>
      <c r="F449" s="3">
        <f>VLOOKUP(Sheet1!$D449,Customers!$A$1:$D$51,2,TRUE)</f>
        <v>26</v>
      </c>
      <c r="G449" s="3" t="str">
        <f>VLOOKUP(Sheet1!$D449,Customers!$A$1:$D$51,3,TRUE)</f>
        <v>Female</v>
      </c>
      <c r="H449" s="3" t="str">
        <f>VLOOKUP(Sheet1!$D449,Customers!$A$1:$D$51,4,TRUE)</f>
        <v>Delhi</v>
      </c>
      <c r="I449" s="3" t="str">
        <f>VLOOKUP($C449,Products!$A$1:$E$21,2,TRUE)</f>
        <v>Resistance Band</v>
      </c>
      <c r="J449" s="3" t="str">
        <f>VLOOKUP($C449,Products!$A$1:$E$21,3,TRUE)</f>
        <v>Fitness</v>
      </c>
      <c r="K449" s="4">
        <f>VLOOKUP($C449,Products!$A$1:$E$21,4,TRUE)</f>
        <v>310</v>
      </c>
      <c r="L449" s="4">
        <f>VLOOKUP($C449,Products!$A$1:$E$21,5,TRUE)</f>
        <v>480</v>
      </c>
      <c r="M449" s="4">
        <f t="shared" si="48"/>
        <v>310</v>
      </c>
      <c r="N449" s="4">
        <f t="shared" si="49"/>
        <v>480</v>
      </c>
      <c r="O449" s="4">
        <f t="shared" si="50"/>
        <v>170</v>
      </c>
      <c r="P449" s="5">
        <f t="shared" si="51"/>
        <v>0.35416666666666669</v>
      </c>
      <c r="Q449" s="3" t="str">
        <f t="shared" si="52"/>
        <v>Low_order</v>
      </c>
      <c r="R449" s="3" t="str">
        <f t="shared" si="53"/>
        <v>Young</v>
      </c>
      <c r="S449" s="11" t="str">
        <f t="shared" si="54"/>
        <v>Medium_profit</v>
      </c>
      <c r="T449" s="13" t="str">
        <f t="shared" si="55"/>
        <v>Nov</v>
      </c>
    </row>
    <row r="450" spans="1:20" x14ac:dyDescent="0.3">
      <c r="A450" s="9">
        <v>45517</v>
      </c>
      <c r="B450" s="3">
        <v>3449</v>
      </c>
      <c r="C450" s="3">
        <v>1006</v>
      </c>
      <c r="D450" s="3">
        <v>2014</v>
      </c>
      <c r="E450" s="3">
        <v>7</v>
      </c>
      <c r="F450" s="3">
        <f>VLOOKUP(Sheet1!$D450,Customers!$A$1:$D$51,2,TRUE)</f>
        <v>58</v>
      </c>
      <c r="G450" s="3" t="str">
        <f>VLOOKUP(Sheet1!$D450,Customers!$A$1:$D$51,3,TRUE)</f>
        <v>Female</v>
      </c>
      <c r="H450" s="3" t="str">
        <f>VLOOKUP(Sheet1!$D450,Customers!$A$1:$D$51,4,TRUE)</f>
        <v>Chandigarh</v>
      </c>
      <c r="I450" s="3" t="str">
        <f>VLOOKUP($C450,Products!$A$1:$E$21,2,TRUE)</f>
        <v>Phone Case</v>
      </c>
      <c r="J450" s="3" t="str">
        <f>VLOOKUP($C450,Products!$A$1:$E$21,3,TRUE)</f>
        <v>Accessories</v>
      </c>
      <c r="K450" s="4">
        <f>VLOOKUP($C450,Products!$A$1:$E$21,4,TRUE)</f>
        <v>320</v>
      </c>
      <c r="L450" s="4">
        <f>VLOOKUP($C450,Products!$A$1:$E$21,5,TRUE)</f>
        <v>430</v>
      </c>
      <c r="M450" s="4">
        <f t="shared" si="48"/>
        <v>2240</v>
      </c>
      <c r="N450" s="4">
        <f t="shared" si="49"/>
        <v>3010</v>
      </c>
      <c r="O450" s="4">
        <f t="shared" si="50"/>
        <v>770</v>
      </c>
      <c r="P450" s="5">
        <f t="shared" si="51"/>
        <v>0.2558139534883721</v>
      </c>
      <c r="Q450" s="3" t="str">
        <f t="shared" si="52"/>
        <v>High_order</v>
      </c>
      <c r="R450" s="3" t="str">
        <f t="shared" si="53"/>
        <v>Senior</v>
      </c>
      <c r="S450" s="11" t="str">
        <f t="shared" si="54"/>
        <v>Low_profit</v>
      </c>
      <c r="T450" s="13" t="str">
        <f t="shared" si="55"/>
        <v>Aug</v>
      </c>
    </row>
    <row r="451" spans="1:20" x14ac:dyDescent="0.3">
      <c r="A451" s="9">
        <v>45495</v>
      </c>
      <c r="B451" s="3">
        <v>3450</v>
      </c>
      <c r="C451" s="3">
        <v>1012</v>
      </c>
      <c r="D451" s="3">
        <v>2023</v>
      </c>
      <c r="E451" s="3">
        <v>5</v>
      </c>
      <c r="F451" s="3">
        <f>VLOOKUP(Sheet1!$D451,Customers!$A$1:$D$51,2,TRUE)</f>
        <v>41</v>
      </c>
      <c r="G451" s="3" t="str">
        <f>VLOOKUP(Sheet1!$D451,Customers!$A$1:$D$51,3,TRUE)</f>
        <v>Male</v>
      </c>
      <c r="H451" s="3" t="str">
        <f>VLOOKUP(Sheet1!$D451,Customers!$A$1:$D$51,4,TRUE)</f>
        <v>Delhi</v>
      </c>
      <c r="I451" s="3" t="str">
        <f>VLOOKUP($C451,Products!$A$1:$E$21,2,TRUE)</f>
        <v>Pen Set</v>
      </c>
      <c r="J451" s="3" t="str">
        <f>VLOOKUP($C451,Products!$A$1:$E$21,3,TRUE)</f>
        <v>Office</v>
      </c>
      <c r="K451" s="4">
        <f>VLOOKUP($C451,Products!$A$1:$E$21,4,TRUE)</f>
        <v>380</v>
      </c>
      <c r="L451" s="4">
        <f>VLOOKUP($C451,Products!$A$1:$E$21,5,TRUE)</f>
        <v>510</v>
      </c>
      <c r="M451" s="4">
        <f t="shared" ref="M451:M501" si="56">$K451*$E451</f>
        <v>1900</v>
      </c>
      <c r="N451" s="4">
        <f t="shared" ref="N451:N501" si="57">$L451*$E451</f>
        <v>2550</v>
      </c>
      <c r="O451" s="4">
        <f t="shared" ref="O451:O501" si="58">$N451-$M451</f>
        <v>650</v>
      </c>
      <c r="P451" s="5">
        <f t="shared" ref="P451:P501" si="59">$O451/$N451</f>
        <v>0.25490196078431371</v>
      </c>
      <c r="Q451" s="3" t="str">
        <f t="shared" ref="Q451:Q482" si="60">IF($N451&lt;$N$508,"Low_order",IF($N451&lt;$N$509,"Medium_order","High_order"))</f>
        <v>High_order</v>
      </c>
      <c r="R451" s="3" t="str">
        <f t="shared" ref="R451:R501" si="61">IF($F451&lt;$F$508,"Young",IF($F451&lt;$F$509,"Middle_age","Senior"))</f>
        <v>Senior</v>
      </c>
      <c r="S451" s="11" t="str">
        <f t="shared" ref="S451:S482" si="62">IF(P451&lt;$P$508,"Low_profit",IF(P451&lt;$P$509,"Medium_profit","High_profit"))</f>
        <v>Low_profit</v>
      </c>
      <c r="T451" s="13" t="str">
        <f t="shared" ref="T451:T501" si="63">TEXT(A451,"MMM")</f>
        <v>Jul</v>
      </c>
    </row>
    <row r="452" spans="1:20" x14ac:dyDescent="0.3">
      <c r="A452" s="9">
        <v>45517</v>
      </c>
      <c r="B452" s="3">
        <v>3451</v>
      </c>
      <c r="C452" s="3">
        <v>1017</v>
      </c>
      <c r="D452" s="3">
        <v>2049</v>
      </c>
      <c r="E452" s="3">
        <v>10</v>
      </c>
      <c r="F452" s="3">
        <f>VLOOKUP(Sheet1!$D452,Customers!$A$1:$D$51,2,TRUE)</f>
        <v>44</v>
      </c>
      <c r="G452" s="3" t="str">
        <f>VLOOKUP(Sheet1!$D452,Customers!$A$1:$D$51,3,TRUE)</f>
        <v>Female</v>
      </c>
      <c r="H452" s="3" t="str">
        <f>VLOOKUP(Sheet1!$D452,Customers!$A$1:$D$51,4,TRUE)</f>
        <v>Delhi</v>
      </c>
      <c r="I452" s="3" t="str">
        <f>VLOOKUP($C452,Products!$A$1:$E$21,2,TRUE)</f>
        <v>Dumbbells</v>
      </c>
      <c r="J452" s="3" t="str">
        <f>VLOOKUP($C452,Products!$A$1:$E$21,3,TRUE)</f>
        <v>Fitness</v>
      </c>
      <c r="K452" s="4">
        <f>VLOOKUP($C452,Products!$A$1:$E$21,4,TRUE)</f>
        <v>120</v>
      </c>
      <c r="L452" s="4">
        <f>VLOOKUP($C452,Products!$A$1:$E$21,5,TRUE)</f>
        <v>200</v>
      </c>
      <c r="M452" s="4">
        <f t="shared" si="56"/>
        <v>1200</v>
      </c>
      <c r="N452" s="4">
        <f t="shared" si="57"/>
        <v>2000</v>
      </c>
      <c r="O452" s="4">
        <f t="shared" si="58"/>
        <v>800</v>
      </c>
      <c r="P452" s="5">
        <f t="shared" si="59"/>
        <v>0.4</v>
      </c>
      <c r="Q452" s="3" t="str">
        <f t="shared" si="60"/>
        <v>Medium_order</v>
      </c>
      <c r="R452" s="3" t="str">
        <f t="shared" si="61"/>
        <v>Senior</v>
      </c>
      <c r="S452" s="11" t="str">
        <f t="shared" si="62"/>
        <v>Medium_profit</v>
      </c>
      <c r="T452" s="13" t="str">
        <f t="shared" si="63"/>
        <v>Aug</v>
      </c>
    </row>
    <row r="453" spans="1:20" x14ac:dyDescent="0.3">
      <c r="A453" s="9">
        <v>45601</v>
      </c>
      <c r="B453" s="3">
        <v>3452</v>
      </c>
      <c r="C453" s="3">
        <v>1006</v>
      </c>
      <c r="D453" s="3">
        <v>2016</v>
      </c>
      <c r="E453" s="3">
        <v>1</v>
      </c>
      <c r="F453" s="3">
        <f>VLOOKUP(Sheet1!$D453,Customers!$A$1:$D$51,2,TRUE)</f>
        <v>29</v>
      </c>
      <c r="G453" s="3" t="str">
        <f>VLOOKUP(Sheet1!$D453,Customers!$A$1:$D$51,3,TRUE)</f>
        <v>Female</v>
      </c>
      <c r="H453" s="3" t="str">
        <f>VLOOKUP(Sheet1!$D453,Customers!$A$1:$D$51,4,TRUE)</f>
        <v>Chandigarh</v>
      </c>
      <c r="I453" s="3" t="str">
        <f>VLOOKUP($C453,Products!$A$1:$E$21,2,TRUE)</f>
        <v>Phone Case</v>
      </c>
      <c r="J453" s="3" t="str">
        <f>VLOOKUP($C453,Products!$A$1:$E$21,3,TRUE)</f>
        <v>Accessories</v>
      </c>
      <c r="K453" s="4">
        <f>VLOOKUP($C453,Products!$A$1:$E$21,4,TRUE)</f>
        <v>320</v>
      </c>
      <c r="L453" s="4">
        <f>VLOOKUP($C453,Products!$A$1:$E$21,5,TRUE)</f>
        <v>430</v>
      </c>
      <c r="M453" s="4">
        <f t="shared" si="56"/>
        <v>320</v>
      </c>
      <c r="N453" s="4">
        <f t="shared" si="57"/>
        <v>430</v>
      </c>
      <c r="O453" s="4">
        <f t="shared" si="58"/>
        <v>110</v>
      </c>
      <c r="P453" s="5">
        <f t="shared" si="59"/>
        <v>0.2558139534883721</v>
      </c>
      <c r="Q453" s="3" t="str">
        <f t="shared" si="60"/>
        <v>Low_order</v>
      </c>
      <c r="R453" s="3" t="str">
        <f t="shared" si="61"/>
        <v>Young</v>
      </c>
      <c r="S453" s="11" t="str">
        <f t="shared" si="62"/>
        <v>Low_profit</v>
      </c>
      <c r="T453" s="13" t="str">
        <f t="shared" si="63"/>
        <v>Nov</v>
      </c>
    </row>
    <row r="454" spans="1:20" x14ac:dyDescent="0.3">
      <c r="A454" s="9">
        <v>45547</v>
      </c>
      <c r="B454" s="3">
        <v>3453</v>
      </c>
      <c r="C454" s="3">
        <v>1002</v>
      </c>
      <c r="D454" s="3">
        <v>2033</v>
      </c>
      <c r="E454" s="3">
        <v>6</v>
      </c>
      <c r="F454" s="3">
        <f>VLOOKUP(Sheet1!$D454,Customers!$A$1:$D$51,2,TRUE)</f>
        <v>43</v>
      </c>
      <c r="G454" s="3" t="str">
        <f>VLOOKUP(Sheet1!$D454,Customers!$A$1:$D$51,3,TRUE)</f>
        <v>Female</v>
      </c>
      <c r="H454" s="3" t="str">
        <f>VLOOKUP(Sheet1!$D454,Customers!$A$1:$D$51,4,TRUE)</f>
        <v>Hyderabad</v>
      </c>
      <c r="I454" s="3" t="str">
        <f>VLOOKUP($C454,Products!$A$1:$E$21,2,TRUE)</f>
        <v>Keyboard</v>
      </c>
      <c r="J454" s="3" t="str">
        <f>VLOOKUP($C454,Products!$A$1:$E$21,3,TRUE)</f>
        <v>Electronics</v>
      </c>
      <c r="K454" s="4">
        <f>VLOOKUP($C454,Products!$A$1:$E$21,4,TRUE)</f>
        <v>230</v>
      </c>
      <c r="L454" s="4">
        <f>VLOOKUP($C454,Products!$A$1:$E$21,5,TRUE)</f>
        <v>400</v>
      </c>
      <c r="M454" s="4">
        <f t="shared" si="56"/>
        <v>1380</v>
      </c>
      <c r="N454" s="4">
        <f t="shared" si="57"/>
        <v>2400</v>
      </c>
      <c r="O454" s="4">
        <f t="shared" si="58"/>
        <v>1020</v>
      </c>
      <c r="P454" s="5">
        <f t="shared" si="59"/>
        <v>0.42499999999999999</v>
      </c>
      <c r="Q454" s="3" t="str">
        <f t="shared" si="60"/>
        <v>Medium_order</v>
      </c>
      <c r="R454" s="3" t="str">
        <f t="shared" si="61"/>
        <v>Senior</v>
      </c>
      <c r="S454" s="11" t="str">
        <f t="shared" si="62"/>
        <v>High_profit</v>
      </c>
      <c r="T454" s="13" t="str">
        <f t="shared" si="63"/>
        <v>Sep</v>
      </c>
    </row>
    <row r="455" spans="1:20" x14ac:dyDescent="0.3">
      <c r="A455" s="9">
        <v>45399</v>
      </c>
      <c r="B455" s="3">
        <v>3454</v>
      </c>
      <c r="C455" s="3">
        <v>1012</v>
      </c>
      <c r="D455" s="3">
        <v>2033</v>
      </c>
      <c r="E455" s="3">
        <v>1</v>
      </c>
      <c r="F455" s="3">
        <f>VLOOKUP(Sheet1!$D455,Customers!$A$1:$D$51,2,TRUE)</f>
        <v>43</v>
      </c>
      <c r="G455" s="3" t="str">
        <f>VLOOKUP(Sheet1!$D455,Customers!$A$1:$D$51,3,TRUE)</f>
        <v>Female</v>
      </c>
      <c r="H455" s="3" t="str">
        <f>VLOOKUP(Sheet1!$D455,Customers!$A$1:$D$51,4,TRUE)</f>
        <v>Hyderabad</v>
      </c>
      <c r="I455" s="3" t="str">
        <f>VLOOKUP($C455,Products!$A$1:$E$21,2,TRUE)</f>
        <v>Pen Set</v>
      </c>
      <c r="J455" s="3" t="str">
        <f>VLOOKUP($C455,Products!$A$1:$E$21,3,TRUE)</f>
        <v>Office</v>
      </c>
      <c r="K455" s="4">
        <f>VLOOKUP($C455,Products!$A$1:$E$21,4,TRUE)</f>
        <v>380</v>
      </c>
      <c r="L455" s="4">
        <f>VLOOKUP($C455,Products!$A$1:$E$21,5,TRUE)</f>
        <v>510</v>
      </c>
      <c r="M455" s="4">
        <f t="shared" si="56"/>
        <v>380</v>
      </c>
      <c r="N455" s="4">
        <f t="shared" si="57"/>
        <v>510</v>
      </c>
      <c r="O455" s="4">
        <f t="shared" si="58"/>
        <v>130</v>
      </c>
      <c r="P455" s="5">
        <f t="shared" si="59"/>
        <v>0.25490196078431371</v>
      </c>
      <c r="Q455" s="3" t="str">
        <f t="shared" si="60"/>
        <v>Low_order</v>
      </c>
      <c r="R455" s="3" t="str">
        <f t="shared" si="61"/>
        <v>Senior</v>
      </c>
      <c r="S455" s="11" t="str">
        <f t="shared" si="62"/>
        <v>Low_profit</v>
      </c>
      <c r="T455" s="13" t="str">
        <f t="shared" si="63"/>
        <v>Apr</v>
      </c>
    </row>
    <row r="456" spans="1:20" x14ac:dyDescent="0.3">
      <c r="A456" s="9">
        <v>45436</v>
      </c>
      <c r="B456" s="3">
        <v>3455</v>
      </c>
      <c r="C456" s="3">
        <v>1007</v>
      </c>
      <c r="D456" s="3">
        <v>2030</v>
      </c>
      <c r="E456" s="3">
        <v>1</v>
      </c>
      <c r="F456" s="3">
        <f>VLOOKUP(Sheet1!$D456,Customers!$A$1:$D$51,2,TRUE)</f>
        <v>46</v>
      </c>
      <c r="G456" s="3" t="str">
        <f>VLOOKUP(Sheet1!$D456,Customers!$A$1:$D$51,3,TRUE)</f>
        <v>Female</v>
      </c>
      <c r="H456" s="3" t="str">
        <f>VLOOKUP(Sheet1!$D456,Customers!$A$1:$D$51,4,TRUE)</f>
        <v>Bangalore</v>
      </c>
      <c r="I456" s="3" t="str">
        <f>VLOOKUP($C456,Products!$A$1:$E$21,2,TRUE)</f>
        <v>Charger</v>
      </c>
      <c r="J456" s="3" t="str">
        <f>VLOOKUP($C456,Products!$A$1:$E$21,3,TRUE)</f>
        <v>Accessories</v>
      </c>
      <c r="K456" s="4">
        <f>VLOOKUP($C456,Products!$A$1:$E$21,4,TRUE)</f>
        <v>160</v>
      </c>
      <c r="L456" s="4">
        <f>VLOOKUP($C456,Products!$A$1:$E$21,5,TRUE)</f>
        <v>230</v>
      </c>
      <c r="M456" s="4">
        <f t="shared" si="56"/>
        <v>160</v>
      </c>
      <c r="N456" s="4">
        <f t="shared" si="57"/>
        <v>230</v>
      </c>
      <c r="O456" s="4">
        <f t="shared" si="58"/>
        <v>70</v>
      </c>
      <c r="P456" s="5">
        <f t="shared" si="59"/>
        <v>0.30434782608695654</v>
      </c>
      <c r="Q456" s="3" t="str">
        <f t="shared" si="60"/>
        <v>Low_order</v>
      </c>
      <c r="R456" s="3" t="str">
        <f t="shared" si="61"/>
        <v>Senior</v>
      </c>
      <c r="S456" s="11" t="str">
        <f t="shared" si="62"/>
        <v>Low_profit</v>
      </c>
      <c r="T456" s="13" t="str">
        <f t="shared" si="63"/>
        <v>May</v>
      </c>
    </row>
    <row r="457" spans="1:20" x14ac:dyDescent="0.3">
      <c r="A457" s="9">
        <v>45613</v>
      </c>
      <c r="B457" s="3">
        <v>3456</v>
      </c>
      <c r="C457" s="3">
        <v>1001</v>
      </c>
      <c r="D457" s="3">
        <v>2021</v>
      </c>
      <c r="E457" s="3">
        <v>4</v>
      </c>
      <c r="F457" s="3">
        <f>VLOOKUP(Sheet1!$D457,Customers!$A$1:$D$51,2,TRUE)</f>
        <v>28</v>
      </c>
      <c r="G457" s="3" t="str">
        <f>VLOOKUP(Sheet1!$D457,Customers!$A$1:$D$51,3,TRUE)</f>
        <v>Male</v>
      </c>
      <c r="H457" s="3" t="str">
        <f>VLOOKUP(Sheet1!$D457,Customers!$A$1:$D$51,4,TRUE)</f>
        <v>Delhi</v>
      </c>
      <c r="I457" s="3" t="str">
        <f>VLOOKUP($C457,Products!$A$1:$E$21,2,TRUE)</f>
        <v>Headphones</v>
      </c>
      <c r="J457" s="3" t="str">
        <f>VLOOKUP($C457,Products!$A$1:$E$21,3,TRUE)</f>
        <v>Electronics</v>
      </c>
      <c r="K457" s="4">
        <f>VLOOKUP($C457,Products!$A$1:$E$21,4,TRUE)</f>
        <v>380</v>
      </c>
      <c r="L457" s="4">
        <f>VLOOKUP($C457,Products!$A$1:$E$21,5,TRUE)</f>
        <v>550</v>
      </c>
      <c r="M457" s="4">
        <f t="shared" si="56"/>
        <v>1520</v>
      </c>
      <c r="N457" s="4">
        <f t="shared" si="57"/>
        <v>2200</v>
      </c>
      <c r="O457" s="4">
        <f t="shared" si="58"/>
        <v>680</v>
      </c>
      <c r="P457" s="5">
        <f t="shared" si="59"/>
        <v>0.30909090909090908</v>
      </c>
      <c r="Q457" s="3" t="str">
        <f t="shared" si="60"/>
        <v>Medium_order</v>
      </c>
      <c r="R457" s="3" t="str">
        <f t="shared" si="61"/>
        <v>Young</v>
      </c>
      <c r="S457" s="11" t="str">
        <f t="shared" si="62"/>
        <v>Low_profit</v>
      </c>
      <c r="T457" s="13" t="str">
        <f t="shared" si="63"/>
        <v>Nov</v>
      </c>
    </row>
    <row r="458" spans="1:20" x14ac:dyDescent="0.3">
      <c r="A458" s="9">
        <v>45376</v>
      </c>
      <c r="B458" s="3">
        <v>3457</v>
      </c>
      <c r="C458" s="3">
        <v>1007</v>
      </c>
      <c r="D458" s="3">
        <v>2030</v>
      </c>
      <c r="E458" s="3">
        <v>5</v>
      </c>
      <c r="F458" s="3">
        <f>VLOOKUP(Sheet1!$D458,Customers!$A$1:$D$51,2,TRUE)</f>
        <v>46</v>
      </c>
      <c r="G458" s="3" t="str">
        <f>VLOOKUP(Sheet1!$D458,Customers!$A$1:$D$51,3,TRUE)</f>
        <v>Female</v>
      </c>
      <c r="H458" s="3" t="str">
        <f>VLOOKUP(Sheet1!$D458,Customers!$A$1:$D$51,4,TRUE)</f>
        <v>Bangalore</v>
      </c>
      <c r="I458" s="3" t="str">
        <f>VLOOKUP($C458,Products!$A$1:$E$21,2,TRUE)</f>
        <v>Charger</v>
      </c>
      <c r="J458" s="3" t="str">
        <f>VLOOKUP($C458,Products!$A$1:$E$21,3,TRUE)</f>
        <v>Accessories</v>
      </c>
      <c r="K458" s="4">
        <f>VLOOKUP($C458,Products!$A$1:$E$21,4,TRUE)</f>
        <v>160</v>
      </c>
      <c r="L458" s="4">
        <f>VLOOKUP($C458,Products!$A$1:$E$21,5,TRUE)</f>
        <v>230</v>
      </c>
      <c r="M458" s="4">
        <f t="shared" si="56"/>
        <v>800</v>
      </c>
      <c r="N458" s="4">
        <f t="shared" si="57"/>
        <v>1150</v>
      </c>
      <c r="O458" s="4">
        <f t="shared" si="58"/>
        <v>350</v>
      </c>
      <c r="P458" s="5">
        <f t="shared" si="59"/>
        <v>0.30434782608695654</v>
      </c>
      <c r="Q458" s="3" t="str">
        <f t="shared" si="60"/>
        <v>Low_order</v>
      </c>
      <c r="R458" s="3" t="str">
        <f t="shared" si="61"/>
        <v>Senior</v>
      </c>
      <c r="S458" s="11" t="str">
        <f t="shared" si="62"/>
        <v>Low_profit</v>
      </c>
      <c r="T458" s="13" t="str">
        <f t="shared" si="63"/>
        <v>Mar</v>
      </c>
    </row>
    <row r="459" spans="1:20" x14ac:dyDescent="0.3">
      <c r="A459" s="9">
        <v>45370</v>
      </c>
      <c r="B459" s="3">
        <v>3458</v>
      </c>
      <c r="C459" s="3">
        <v>1012</v>
      </c>
      <c r="D459" s="3">
        <v>2038</v>
      </c>
      <c r="E459" s="3">
        <v>10</v>
      </c>
      <c r="F459" s="3">
        <f>VLOOKUP(Sheet1!$D459,Customers!$A$1:$D$51,2,TRUE)</f>
        <v>22</v>
      </c>
      <c r="G459" s="3" t="str">
        <f>VLOOKUP(Sheet1!$D459,Customers!$A$1:$D$51,3,TRUE)</f>
        <v>Male</v>
      </c>
      <c r="H459" s="3" t="str">
        <f>VLOOKUP(Sheet1!$D459,Customers!$A$1:$D$51,4,TRUE)</f>
        <v>Bangalore</v>
      </c>
      <c r="I459" s="3" t="str">
        <f>VLOOKUP($C459,Products!$A$1:$E$21,2,TRUE)</f>
        <v>Pen Set</v>
      </c>
      <c r="J459" s="3" t="str">
        <f>VLOOKUP($C459,Products!$A$1:$E$21,3,TRUE)</f>
        <v>Office</v>
      </c>
      <c r="K459" s="4">
        <f>VLOOKUP($C459,Products!$A$1:$E$21,4,TRUE)</f>
        <v>380</v>
      </c>
      <c r="L459" s="4">
        <f>VLOOKUP($C459,Products!$A$1:$E$21,5,TRUE)</f>
        <v>510</v>
      </c>
      <c r="M459" s="4">
        <f t="shared" si="56"/>
        <v>3800</v>
      </c>
      <c r="N459" s="4">
        <f t="shared" si="57"/>
        <v>5100</v>
      </c>
      <c r="O459" s="4">
        <f t="shared" si="58"/>
        <v>1300</v>
      </c>
      <c r="P459" s="5">
        <f t="shared" si="59"/>
        <v>0.25490196078431371</v>
      </c>
      <c r="Q459" s="3" t="str">
        <f t="shared" si="60"/>
        <v>High_order</v>
      </c>
      <c r="R459" s="3" t="str">
        <f t="shared" si="61"/>
        <v>Young</v>
      </c>
      <c r="S459" s="11" t="str">
        <f t="shared" si="62"/>
        <v>Low_profit</v>
      </c>
      <c r="T459" s="13" t="str">
        <f t="shared" si="63"/>
        <v>Mar</v>
      </c>
    </row>
    <row r="460" spans="1:20" x14ac:dyDescent="0.3">
      <c r="A460" s="9">
        <v>45571</v>
      </c>
      <c r="B460" s="3">
        <v>3459</v>
      </c>
      <c r="C460" s="3">
        <v>1003</v>
      </c>
      <c r="D460" s="3">
        <v>2005</v>
      </c>
      <c r="E460" s="3">
        <v>1</v>
      </c>
      <c r="F460" s="3">
        <f>VLOOKUP(Sheet1!$D460,Customers!$A$1:$D$51,2,TRUE)</f>
        <v>56</v>
      </c>
      <c r="G460" s="3" t="str">
        <f>VLOOKUP(Sheet1!$D460,Customers!$A$1:$D$51,3,TRUE)</f>
        <v>Female</v>
      </c>
      <c r="H460" s="3" t="str">
        <f>VLOOKUP(Sheet1!$D460,Customers!$A$1:$D$51,4,TRUE)</f>
        <v>Hyderabad</v>
      </c>
      <c r="I460" s="3" t="str">
        <f>VLOOKUP($C460,Products!$A$1:$E$21,2,TRUE)</f>
        <v>Mouse</v>
      </c>
      <c r="J460" s="3" t="str">
        <f>VLOOKUP($C460,Products!$A$1:$E$21,3,TRUE)</f>
        <v>Electronics</v>
      </c>
      <c r="K460" s="4">
        <f>VLOOKUP($C460,Products!$A$1:$E$21,4,TRUE)</f>
        <v>140</v>
      </c>
      <c r="L460" s="4">
        <f>VLOOKUP($C460,Products!$A$1:$E$21,5,TRUE)</f>
        <v>350</v>
      </c>
      <c r="M460" s="4">
        <f t="shared" si="56"/>
        <v>140</v>
      </c>
      <c r="N460" s="4">
        <f t="shared" si="57"/>
        <v>350</v>
      </c>
      <c r="O460" s="4">
        <f t="shared" si="58"/>
        <v>210</v>
      </c>
      <c r="P460" s="5">
        <f t="shared" si="59"/>
        <v>0.6</v>
      </c>
      <c r="Q460" s="3" t="str">
        <f t="shared" si="60"/>
        <v>Low_order</v>
      </c>
      <c r="R460" s="3" t="str">
        <f t="shared" si="61"/>
        <v>Senior</v>
      </c>
      <c r="S460" s="11" t="str">
        <f t="shared" si="62"/>
        <v>High_profit</v>
      </c>
      <c r="T460" s="13" t="str">
        <f t="shared" si="63"/>
        <v>Oct</v>
      </c>
    </row>
    <row r="461" spans="1:20" x14ac:dyDescent="0.3">
      <c r="A461" s="9">
        <v>45509</v>
      </c>
      <c r="B461" s="3">
        <v>3460</v>
      </c>
      <c r="C461" s="3">
        <v>1009</v>
      </c>
      <c r="D461" s="3">
        <v>2024</v>
      </c>
      <c r="E461" s="3">
        <v>8</v>
      </c>
      <c r="F461" s="3">
        <f>VLOOKUP(Sheet1!$D461,Customers!$A$1:$D$51,2,TRUE)</f>
        <v>26</v>
      </c>
      <c r="G461" s="3" t="str">
        <f>VLOOKUP(Sheet1!$D461,Customers!$A$1:$D$51,3,TRUE)</f>
        <v>Female</v>
      </c>
      <c r="H461" s="3" t="str">
        <f>VLOOKUP(Sheet1!$D461,Customers!$A$1:$D$51,4,TRUE)</f>
        <v>Delhi</v>
      </c>
      <c r="I461" s="3" t="str">
        <f>VLOOKUP($C461,Products!$A$1:$E$21,2,TRUE)</f>
        <v>Power Bank</v>
      </c>
      <c r="J461" s="3" t="str">
        <f>VLOOKUP($C461,Products!$A$1:$E$21,3,TRUE)</f>
        <v>Accessories</v>
      </c>
      <c r="K461" s="4">
        <f>VLOOKUP($C461,Products!$A$1:$E$21,4,TRUE)</f>
        <v>50</v>
      </c>
      <c r="L461" s="4">
        <f>VLOOKUP($C461,Products!$A$1:$E$21,5,TRUE)</f>
        <v>220</v>
      </c>
      <c r="M461" s="4">
        <f t="shared" si="56"/>
        <v>400</v>
      </c>
      <c r="N461" s="4">
        <f t="shared" si="57"/>
        <v>1760</v>
      </c>
      <c r="O461" s="4">
        <f t="shared" si="58"/>
        <v>1360</v>
      </c>
      <c r="P461" s="5">
        <f t="shared" si="59"/>
        <v>0.77272727272727271</v>
      </c>
      <c r="Q461" s="3" t="str">
        <f t="shared" si="60"/>
        <v>Medium_order</v>
      </c>
      <c r="R461" s="3" t="str">
        <f t="shared" si="61"/>
        <v>Young</v>
      </c>
      <c r="S461" s="11" t="str">
        <f t="shared" si="62"/>
        <v>High_profit</v>
      </c>
      <c r="T461" s="13" t="str">
        <f t="shared" si="63"/>
        <v>Aug</v>
      </c>
    </row>
    <row r="462" spans="1:20" x14ac:dyDescent="0.3">
      <c r="A462" s="9">
        <v>45632</v>
      </c>
      <c r="B462" s="3">
        <v>3461</v>
      </c>
      <c r="C462" s="3">
        <v>1019</v>
      </c>
      <c r="D462" s="3">
        <v>2011</v>
      </c>
      <c r="E462" s="3">
        <v>7</v>
      </c>
      <c r="F462" s="3">
        <f>VLOOKUP(Sheet1!$D462,Customers!$A$1:$D$51,2,TRUE)</f>
        <v>33</v>
      </c>
      <c r="G462" s="3" t="str">
        <f>VLOOKUP(Sheet1!$D462,Customers!$A$1:$D$51,3,TRUE)</f>
        <v>Female</v>
      </c>
      <c r="H462" s="3" t="str">
        <f>VLOOKUP(Sheet1!$D462,Customers!$A$1:$D$51,4,TRUE)</f>
        <v>Chandigarh</v>
      </c>
      <c r="I462" s="3" t="str">
        <f>VLOOKUP($C462,Products!$A$1:$E$21,2,TRUE)</f>
        <v>Skipping Rope</v>
      </c>
      <c r="J462" s="3" t="str">
        <f>VLOOKUP($C462,Products!$A$1:$E$21,3,TRUE)</f>
        <v>Fitness</v>
      </c>
      <c r="K462" s="4">
        <f>VLOOKUP($C462,Products!$A$1:$E$21,4,TRUE)</f>
        <v>140</v>
      </c>
      <c r="L462" s="4">
        <f>VLOOKUP($C462,Products!$A$1:$E$21,5,TRUE)</f>
        <v>270</v>
      </c>
      <c r="M462" s="4">
        <f t="shared" si="56"/>
        <v>980</v>
      </c>
      <c r="N462" s="4">
        <f t="shared" si="57"/>
        <v>1890</v>
      </c>
      <c r="O462" s="4">
        <f t="shared" si="58"/>
        <v>910</v>
      </c>
      <c r="P462" s="5">
        <f t="shared" si="59"/>
        <v>0.48148148148148145</v>
      </c>
      <c r="Q462" s="3" t="str">
        <f t="shared" si="60"/>
        <v>Medium_order</v>
      </c>
      <c r="R462" s="3" t="str">
        <f t="shared" si="61"/>
        <v>Middle_age</v>
      </c>
      <c r="S462" s="11" t="str">
        <f t="shared" si="62"/>
        <v>High_profit</v>
      </c>
      <c r="T462" s="13" t="str">
        <f t="shared" si="63"/>
        <v>Dec</v>
      </c>
    </row>
    <row r="463" spans="1:20" x14ac:dyDescent="0.3">
      <c r="A463" s="9">
        <v>45399</v>
      </c>
      <c r="B463" s="3">
        <v>3462</v>
      </c>
      <c r="C463" s="3">
        <v>1015</v>
      </c>
      <c r="D463" s="3">
        <v>2014</v>
      </c>
      <c r="E463" s="3">
        <v>6</v>
      </c>
      <c r="F463" s="3">
        <f>VLOOKUP(Sheet1!$D463,Customers!$A$1:$D$51,2,TRUE)</f>
        <v>58</v>
      </c>
      <c r="G463" s="3" t="str">
        <f>VLOOKUP(Sheet1!$D463,Customers!$A$1:$D$51,3,TRUE)</f>
        <v>Female</v>
      </c>
      <c r="H463" s="3" t="str">
        <f>VLOOKUP(Sheet1!$D463,Customers!$A$1:$D$51,4,TRUE)</f>
        <v>Chandigarh</v>
      </c>
      <c r="I463" s="3" t="str">
        <f>VLOOKUP($C463,Products!$A$1:$E$21,2,TRUE)</f>
        <v>Organizer</v>
      </c>
      <c r="J463" s="3" t="str">
        <f>VLOOKUP($C463,Products!$A$1:$E$21,3,TRUE)</f>
        <v>Office</v>
      </c>
      <c r="K463" s="4">
        <f>VLOOKUP($C463,Products!$A$1:$E$21,4,TRUE)</f>
        <v>70</v>
      </c>
      <c r="L463" s="4">
        <f>VLOOKUP($C463,Products!$A$1:$E$21,5,TRUE)</f>
        <v>210</v>
      </c>
      <c r="M463" s="4">
        <f t="shared" si="56"/>
        <v>420</v>
      </c>
      <c r="N463" s="4">
        <f t="shared" si="57"/>
        <v>1260</v>
      </c>
      <c r="O463" s="4">
        <f t="shared" si="58"/>
        <v>840</v>
      </c>
      <c r="P463" s="5">
        <f t="shared" si="59"/>
        <v>0.66666666666666663</v>
      </c>
      <c r="Q463" s="3" t="str">
        <f t="shared" si="60"/>
        <v>Low_order</v>
      </c>
      <c r="R463" s="3" t="str">
        <f t="shared" si="61"/>
        <v>Senior</v>
      </c>
      <c r="S463" s="11" t="str">
        <f t="shared" si="62"/>
        <v>High_profit</v>
      </c>
      <c r="T463" s="13" t="str">
        <f t="shared" si="63"/>
        <v>Apr</v>
      </c>
    </row>
    <row r="464" spans="1:20" x14ac:dyDescent="0.3">
      <c r="A464" s="9">
        <v>45349</v>
      </c>
      <c r="B464" s="3">
        <v>3463</v>
      </c>
      <c r="C464" s="3">
        <v>1005</v>
      </c>
      <c r="D464" s="3">
        <v>2038</v>
      </c>
      <c r="E464" s="3">
        <v>8</v>
      </c>
      <c r="F464" s="3">
        <f>VLOOKUP(Sheet1!$D464,Customers!$A$1:$D$51,2,TRUE)</f>
        <v>22</v>
      </c>
      <c r="G464" s="3" t="str">
        <f>VLOOKUP(Sheet1!$D464,Customers!$A$1:$D$51,3,TRUE)</f>
        <v>Male</v>
      </c>
      <c r="H464" s="3" t="str">
        <f>VLOOKUP(Sheet1!$D464,Customers!$A$1:$D$51,4,TRUE)</f>
        <v>Bangalore</v>
      </c>
      <c r="I464" s="3" t="str">
        <f>VLOOKUP($C464,Products!$A$1:$E$21,2,TRUE)</f>
        <v>Webcam</v>
      </c>
      <c r="J464" s="3" t="str">
        <f>VLOOKUP($C464,Products!$A$1:$E$21,3,TRUE)</f>
        <v>Electronics</v>
      </c>
      <c r="K464" s="4">
        <f>VLOOKUP($C464,Products!$A$1:$E$21,4,TRUE)</f>
        <v>340</v>
      </c>
      <c r="L464" s="4">
        <f>VLOOKUP($C464,Products!$A$1:$E$21,5,TRUE)</f>
        <v>520</v>
      </c>
      <c r="M464" s="4">
        <f t="shared" si="56"/>
        <v>2720</v>
      </c>
      <c r="N464" s="4">
        <f t="shared" si="57"/>
        <v>4160</v>
      </c>
      <c r="O464" s="4">
        <f t="shared" si="58"/>
        <v>1440</v>
      </c>
      <c r="P464" s="5">
        <f t="shared" si="59"/>
        <v>0.34615384615384615</v>
      </c>
      <c r="Q464" s="3" t="str">
        <f t="shared" si="60"/>
        <v>High_order</v>
      </c>
      <c r="R464" s="3" t="str">
        <f t="shared" si="61"/>
        <v>Young</v>
      </c>
      <c r="S464" s="11" t="str">
        <f t="shared" si="62"/>
        <v>Medium_profit</v>
      </c>
      <c r="T464" s="13" t="str">
        <f t="shared" si="63"/>
        <v>Feb</v>
      </c>
    </row>
    <row r="465" spans="1:20" x14ac:dyDescent="0.3">
      <c r="A465" s="9">
        <v>45587</v>
      </c>
      <c r="B465" s="3">
        <v>3464</v>
      </c>
      <c r="C465" s="3">
        <v>1012</v>
      </c>
      <c r="D465" s="3">
        <v>2004</v>
      </c>
      <c r="E465" s="3">
        <v>4</v>
      </c>
      <c r="F465" s="3">
        <f>VLOOKUP(Sheet1!$D465,Customers!$A$1:$D$51,2,TRUE)</f>
        <v>25</v>
      </c>
      <c r="G465" s="3" t="str">
        <f>VLOOKUP(Sheet1!$D465,Customers!$A$1:$D$51,3,TRUE)</f>
        <v>Male</v>
      </c>
      <c r="H465" s="3" t="str">
        <f>VLOOKUP(Sheet1!$D465,Customers!$A$1:$D$51,4,TRUE)</f>
        <v>Pune</v>
      </c>
      <c r="I465" s="3" t="str">
        <f>VLOOKUP($C465,Products!$A$1:$E$21,2,TRUE)</f>
        <v>Pen Set</v>
      </c>
      <c r="J465" s="3" t="str">
        <f>VLOOKUP($C465,Products!$A$1:$E$21,3,TRUE)</f>
        <v>Office</v>
      </c>
      <c r="K465" s="4">
        <f>VLOOKUP($C465,Products!$A$1:$E$21,4,TRUE)</f>
        <v>380</v>
      </c>
      <c r="L465" s="4">
        <f>VLOOKUP($C465,Products!$A$1:$E$21,5,TRUE)</f>
        <v>510</v>
      </c>
      <c r="M465" s="4">
        <f t="shared" si="56"/>
        <v>1520</v>
      </c>
      <c r="N465" s="4">
        <f t="shared" si="57"/>
        <v>2040</v>
      </c>
      <c r="O465" s="4">
        <f t="shared" si="58"/>
        <v>520</v>
      </c>
      <c r="P465" s="5">
        <f t="shared" si="59"/>
        <v>0.25490196078431371</v>
      </c>
      <c r="Q465" s="3" t="str">
        <f t="shared" si="60"/>
        <v>Medium_order</v>
      </c>
      <c r="R465" s="3" t="str">
        <f t="shared" si="61"/>
        <v>Young</v>
      </c>
      <c r="S465" s="11" t="str">
        <f t="shared" si="62"/>
        <v>Low_profit</v>
      </c>
      <c r="T465" s="13" t="str">
        <f t="shared" si="63"/>
        <v>Oct</v>
      </c>
    </row>
    <row r="466" spans="1:20" x14ac:dyDescent="0.3">
      <c r="A466" s="9">
        <v>45645</v>
      </c>
      <c r="B466" s="3">
        <v>3465</v>
      </c>
      <c r="C466" s="3">
        <v>1020</v>
      </c>
      <c r="D466" s="3">
        <v>2018</v>
      </c>
      <c r="E466" s="3">
        <v>5</v>
      </c>
      <c r="F466" s="3">
        <f>VLOOKUP(Sheet1!$D466,Customers!$A$1:$D$51,2,TRUE)</f>
        <v>38</v>
      </c>
      <c r="G466" s="3" t="str">
        <f>VLOOKUP(Sheet1!$D466,Customers!$A$1:$D$51,3,TRUE)</f>
        <v>Female</v>
      </c>
      <c r="H466" s="3" t="str">
        <f>VLOOKUP(Sheet1!$D466,Customers!$A$1:$D$51,4,TRUE)</f>
        <v>Pune</v>
      </c>
      <c r="I466" s="3" t="str">
        <f>VLOOKUP($C466,Products!$A$1:$E$21,2,TRUE)</f>
        <v>Water Bottle</v>
      </c>
      <c r="J466" s="3" t="str">
        <f>VLOOKUP($C466,Products!$A$1:$E$21,3,TRUE)</f>
        <v>Fitness</v>
      </c>
      <c r="K466" s="4">
        <f>VLOOKUP($C466,Products!$A$1:$E$21,4,TRUE)</f>
        <v>400</v>
      </c>
      <c r="L466" s="4">
        <f>VLOOKUP($C466,Products!$A$1:$E$21,5,TRUE)</f>
        <v>560</v>
      </c>
      <c r="M466" s="4">
        <f t="shared" si="56"/>
        <v>2000</v>
      </c>
      <c r="N466" s="4">
        <f t="shared" si="57"/>
        <v>2800</v>
      </c>
      <c r="O466" s="4">
        <f t="shared" si="58"/>
        <v>800</v>
      </c>
      <c r="P466" s="5">
        <f t="shared" si="59"/>
        <v>0.2857142857142857</v>
      </c>
      <c r="Q466" s="3" t="str">
        <f t="shared" si="60"/>
        <v>High_order</v>
      </c>
      <c r="R466" s="3" t="str">
        <f t="shared" si="61"/>
        <v>Middle_age</v>
      </c>
      <c r="S466" s="11" t="str">
        <f t="shared" si="62"/>
        <v>Low_profit</v>
      </c>
      <c r="T466" s="13" t="str">
        <f t="shared" si="63"/>
        <v>Dec</v>
      </c>
    </row>
    <row r="467" spans="1:20" x14ac:dyDescent="0.3">
      <c r="A467" s="9">
        <v>45466</v>
      </c>
      <c r="B467" s="3">
        <v>3466</v>
      </c>
      <c r="C467" s="3">
        <v>1004</v>
      </c>
      <c r="D467" s="3">
        <v>2007</v>
      </c>
      <c r="E467" s="3">
        <v>4</v>
      </c>
      <c r="F467" s="3">
        <f>VLOOKUP(Sheet1!$D467,Customers!$A$1:$D$51,2,TRUE)</f>
        <v>34</v>
      </c>
      <c r="G467" s="3" t="str">
        <f>VLOOKUP(Sheet1!$D467,Customers!$A$1:$D$51,3,TRUE)</f>
        <v>Male</v>
      </c>
      <c r="H467" s="3" t="str">
        <f>VLOOKUP(Sheet1!$D467,Customers!$A$1:$D$51,4,TRUE)</f>
        <v>Bangalore</v>
      </c>
      <c r="I467" s="3" t="str">
        <f>VLOOKUP($C467,Products!$A$1:$E$21,2,TRUE)</f>
        <v>Speaker</v>
      </c>
      <c r="J467" s="3" t="str">
        <f>VLOOKUP($C467,Products!$A$1:$E$21,3,TRUE)</f>
        <v>Electronics</v>
      </c>
      <c r="K467" s="4">
        <f>VLOOKUP($C467,Products!$A$1:$E$21,4,TRUE)</f>
        <v>230</v>
      </c>
      <c r="L467" s="4">
        <f>VLOOKUP($C467,Products!$A$1:$E$21,5,TRUE)</f>
        <v>440</v>
      </c>
      <c r="M467" s="4">
        <f t="shared" si="56"/>
        <v>920</v>
      </c>
      <c r="N467" s="4">
        <f t="shared" si="57"/>
        <v>1760</v>
      </c>
      <c r="O467" s="4">
        <f t="shared" si="58"/>
        <v>840</v>
      </c>
      <c r="P467" s="5">
        <f t="shared" si="59"/>
        <v>0.47727272727272729</v>
      </c>
      <c r="Q467" s="3" t="str">
        <f t="shared" si="60"/>
        <v>Medium_order</v>
      </c>
      <c r="R467" s="3" t="str">
        <f t="shared" si="61"/>
        <v>Middle_age</v>
      </c>
      <c r="S467" s="11" t="str">
        <f t="shared" si="62"/>
        <v>High_profit</v>
      </c>
      <c r="T467" s="13" t="str">
        <f t="shared" si="63"/>
        <v>Jun</v>
      </c>
    </row>
    <row r="468" spans="1:20" x14ac:dyDescent="0.3">
      <c r="A468" s="9">
        <v>45315</v>
      </c>
      <c r="B468" s="3">
        <v>3467</v>
      </c>
      <c r="C468" s="3">
        <v>1012</v>
      </c>
      <c r="D468" s="3">
        <v>2030</v>
      </c>
      <c r="E468" s="3">
        <v>8</v>
      </c>
      <c r="F468" s="3">
        <f>VLOOKUP(Sheet1!$D468,Customers!$A$1:$D$51,2,TRUE)</f>
        <v>46</v>
      </c>
      <c r="G468" s="3" t="str">
        <f>VLOOKUP(Sheet1!$D468,Customers!$A$1:$D$51,3,TRUE)</f>
        <v>Female</v>
      </c>
      <c r="H468" s="3" t="str">
        <f>VLOOKUP(Sheet1!$D468,Customers!$A$1:$D$51,4,TRUE)</f>
        <v>Bangalore</v>
      </c>
      <c r="I468" s="3" t="str">
        <f>VLOOKUP($C468,Products!$A$1:$E$21,2,TRUE)</f>
        <v>Pen Set</v>
      </c>
      <c r="J468" s="3" t="str">
        <f>VLOOKUP($C468,Products!$A$1:$E$21,3,TRUE)</f>
        <v>Office</v>
      </c>
      <c r="K468" s="4">
        <f>VLOOKUP($C468,Products!$A$1:$E$21,4,TRUE)</f>
        <v>380</v>
      </c>
      <c r="L468" s="4">
        <f>VLOOKUP($C468,Products!$A$1:$E$21,5,TRUE)</f>
        <v>510</v>
      </c>
      <c r="M468" s="4">
        <f t="shared" si="56"/>
        <v>3040</v>
      </c>
      <c r="N468" s="4">
        <f t="shared" si="57"/>
        <v>4080</v>
      </c>
      <c r="O468" s="4">
        <f t="shared" si="58"/>
        <v>1040</v>
      </c>
      <c r="P468" s="5">
        <f t="shared" si="59"/>
        <v>0.25490196078431371</v>
      </c>
      <c r="Q468" s="3" t="str">
        <f t="shared" si="60"/>
        <v>High_order</v>
      </c>
      <c r="R468" s="3" t="str">
        <f t="shared" si="61"/>
        <v>Senior</v>
      </c>
      <c r="S468" s="11" t="str">
        <f t="shared" si="62"/>
        <v>Low_profit</v>
      </c>
      <c r="T468" s="13" t="str">
        <f t="shared" si="63"/>
        <v>Jan</v>
      </c>
    </row>
    <row r="469" spans="1:20" x14ac:dyDescent="0.3">
      <c r="A469" s="9">
        <v>45304</v>
      </c>
      <c r="B469" s="3">
        <v>3468</v>
      </c>
      <c r="C469" s="3">
        <v>1004</v>
      </c>
      <c r="D469" s="3">
        <v>2004</v>
      </c>
      <c r="E469" s="3">
        <v>4</v>
      </c>
      <c r="F469" s="3">
        <f>VLOOKUP(Sheet1!$D469,Customers!$A$1:$D$51,2,TRUE)</f>
        <v>25</v>
      </c>
      <c r="G469" s="3" t="str">
        <f>VLOOKUP(Sheet1!$D469,Customers!$A$1:$D$51,3,TRUE)</f>
        <v>Male</v>
      </c>
      <c r="H469" s="3" t="str">
        <f>VLOOKUP(Sheet1!$D469,Customers!$A$1:$D$51,4,TRUE)</f>
        <v>Pune</v>
      </c>
      <c r="I469" s="3" t="str">
        <f>VLOOKUP($C469,Products!$A$1:$E$21,2,TRUE)</f>
        <v>Speaker</v>
      </c>
      <c r="J469" s="3" t="str">
        <f>VLOOKUP($C469,Products!$A$1:$E$21,3,TRUE)</f>
        <v>Electronics</v>
      </c>
      <c r="K469" s="4">
        <f>VLOOKUP($C469,Products!$A$1:$E$21,4,TRUE)</f>
        <v>230</v>
      </c>
      <c r="L469" s="4">
        <f>VLOOKUP($C469,Products!$A$1:$E$21,5,TRUE)</f>
        <v>440</v>
      </c>
      <c r="M469" s="4">
        <f t="shared" si="56"/>
        <v>920</v>
      </c>
      <c r="N469" s="4">
        <f t="shared" si="57"/>
        <v>1760</v>
      </c>
      <c r="O469" s="4">
        <f t="shared" si="58"/>
        <v>840</v>
      </c>
      <c r="P469" s="5">
        <f t="shared" si="59"/>
        <v>0.47727272727272729</v>
      </c>
      <c r="Q469" s="3" t="str">
        <f t="shared" si="60"/>
        <v>Medium_order</v>
      </c>
      <c r="R469" s="3" t="str">
        <f t="shared" si="61"/>
        <v>Young</v>
      </c>
      <c r="S469" s="11" t="str">
        <f t="shared" si="62"/>
        <v>High_profit</v>
      </c>
      <c r="T469" s="13" t="str">
        <f t="shared" si="63"/>
        <v>Jan</v>
      </c>
    </row>
    <row r="470" spans="1:20" x14ac:dyDescent="0.3">
      <c r="A470" s="9">
        <v>45487</v>
      </c>
      <c r="B470" s="3">
        <v>3469</v>
      </c>
      <c r="C470" s="3">
        <v>1008</v>
      </c>
      <c r="D470" s="3">
        <v>2032</v>
      </c>
      <c r="E470" s="3">
        <v>4</v>
      </c>
      <c r="F470" s="3">
        <f>VLOOKUP(Sheet1!$D470,Customers!$A$1:$D$51,2,TRUE)</f>
        <v>42</v>
      </c>
      <c r="G470" s="3" t="str">
        <f>VLOOKUP(Sheet1!$D470,Customers!$A$1:$D$51,3,TRUE)</f>
        <v>Male</v>
      </c>
      <c r="H470" s="3" t="str">
        <f>VLOOKUP(Sheet1!$D470,Customers!$A$1:$D$51,4,TRUE)</f>
        <v>Hyderabad</v>
      </c>
      <c r="I470" s="3" t="str">
        <f>VLOOKUP($C470,Products!$A$1:$E$21,2,TRUE)</f>
        <v>USB Cable</v>
      </c>
      <c r="J470" s="3" t="str">
        <f>VLOOKUP($C470,Products!$A$1:$E$21,3,TRUE)</f>
        <v>Accessories</v>
      </c>
      <c r="K470" s="4">
        <f>VLOOKUP($C470,Products!$A$1:$E$21,4,TRUE)</f>
        <v>340</v>
      </c>
      <c r="L470" s="4">
        <f>VLOOKUP($C470,Products!$A$1:$E$21,5,TRUE)</f>
        <v>430</v>
      </c>
      <c r="M470" s="4">
        <f t="shared" si="56"/>
        <v>1360</v>
      </c>
      <c r="N470" s="4">
        <f t="shared" si="57"/>
        <v>1720</v>
      </c>
      <c r="O470" s="4">
        <f t="shared" si="58"/>
        <v>360</v>
      </c>
      <c r="P470" s="5">
        <f t="shared" si="59"/>
        <v>0.20930232558139536</v>
      </c>
      <c r="Q470" s="3" t="str">
        <f t="shared" si="60"/>
        <v>Medium_order</v>
      </c>
      <c r="R470" s="3" t="str">
        <f t="shared" si="61"/>
        <v>Senior</v>
      </c>
      <c r="S470" s="11" t="str">
        <f t="shared" si="62"/>
        <v>Low_profit</v>
      </c>
      <c r="T470" s="13" t="str">
        <f t="shared" si="63"/>
        <v>Jul</v>
      </c>
    </row>
    <row r="471" spans="1:20" x14ac:dyDescent="0.3">
      <c r="A471" s="9">
        <v>45577</v>
      </c>
      <c r="B471" s="3">
        <v>3470</v>
      </c>
      <c r="C471" s="3">
        <v>1002</v>
      </c>
      <c r="D471" s="3">
        <v>2015</v>
      </c>
      <c r="E471" s="3">
        <v>9</v>
      </c>
      <c r="F471" s="3">
        <f>VLOOKUP(Sheet1!$D471,Customers!$A$1:$D$51,2,TRUE)</f>
        <v>40</v>
      </c>
      <c r="G471" s="3" t="str">
        <f>VLOOKUP(Sheet1!$D471,Customers!$A$1:$D$51,3,TRUE)</f>
        <v>Male</v>
      </c>
      <c r="H471" s="3" t="str">
        <f>VLOOKUP(Sheet1!$D471,Customers!$A$1:$D$51,4,TRUE)</f>
        <v>Delhi</v>
      </c>
      <c r="I471" s="3" t="str">
        <f>VLOOKUP($C471,Products!$A$1:$E$21,2,TRUE)</f>
        <v>Keyboard</v>
      </c>
      <c r="J471" s="3" t="str">
        <f>VLOOKUP($C471,Products!$A$1:$E$21,3,TRUE)</f>
        <v>Electronics</v>
      </c>
      <c r="K471" s="4">
        <f>VLOOKUP($C471,Products!$A$1:$E$21,4,TRUE)</f>
        <v>230</v>
      </c>
      <c r="L471" s="4">
        <f>VLOOKUP($C471,Products!$A$1:$E$21,5,TRUE)</f>
        <v>400</v>
      </c>
      <c r="M471" s="4">
        <f t="shared" si="56"/>
        <v>2070</v>
      </c>
      <c r="N471" s="4">
        <f t="shared" si="57"/>
        <v>3600</v>
      </c>
      <c r="O471" s="4">
        <f t="shared" si="58"/>
        <v>1530</v>
      </c>
      <c r="P471" s="5">
        <f t="shared" si="59"/>
        <v>0.42499999999999999</v>
      </c>
      <c r="Q471" s="3" t="str">
        <f t="shared" si="60"/>
        <v>High_order</v>
      </c>
      <c r="R471" s="3" t="str">
        <f t="shared" si="61"/>
        <v>Middle_age</v>
      </c>
      <c r="S471" s="11" t="str">
        <f t="shared" si="62"/>
        <v>High_profit</v>
      </c>
      <c r="T471" s="13" t="str">
        <f t="shared" si="63"/>
        <v>Oct</v>
      </c>
    </row>
    <row r="472" spans="1:20" x14ac:dyDescent="0.3">
      <c r="A472" s="9">
        <v>45311</v>
      </c>
      <c r="B472" s="3">
        <v>3471</v>
      </c>
      <c r="C472" s="3">
        <v>1010</v>
      </c>
      <c r="D472" s="3">
        <v>2040</v>
      </c>
      <c r="E472" s="3">
        <v>8</v>
      </c>
      <c r="F472" s="3">
        <f>VLOOKUP(Sheet1!$D472,Customers!$A$1:$D$51,2,TRUE)</f>
        <v>40</v>
      </c>
      <c r="G472" s="3" t="str">
        <f>VLOOKUP(Sheet1!$D472,Customers!$A$1:$D$51,3,TRUE)</f>
        <v>Male</v>
      </c>
      <c r="H472" s="3" t="str">
        <f>VLOOKUP(Sheet1!$D472,Customers!$A$1:$D$51,4,TRUE)</f>
        <v>Hyderabad</v>
      </c>
      <c r="I472" s="3" t="str">
        <f>VLOOKUP($C472,Products!$A$1:$E$21,2,TRUE)</f>
        <v>Laptop Sleeve</v>
      </c>
      <c r="J472" s="3" t="str">
        <f>VLOOKUP($C472,Products!$A$1:$E$21,3,TRUE)</f>
        <v>Accessories</v>
      </c>
      <c r="K472" s="4">
        <f>VLOOKUP($C472,Products!$A$1:$E$21,4,TRUE)</f>
        <v>290</v>
      </c>
      <c r="L472" s="4">
        <f>VLOOKUP($C472,Products!$A$1:$E$21,5,TRUE)</f>
        <v>470</v>
      </c>
      <c r="M472" s="4">
        <f t="shared" si="56"/>
        <v>2320</v>
      </c>
      <c r="N472" s="4">
        <f t="shared" si="57"/>
        <v>3760</v>
      </c>
      <c r="O472" s="4">
        <f t="shared" si="58"/>
        <v>1440</v>
      </c>
      <c r="P472" s="5">
        <f t="shared" si="59"/>
        <v>0.38297872340425532</v>
      </c>
      <c r="Q472" s="3" t="str">
        <f t="shared" si="60"/>
        <v>High_order</v>
      </c>
      <c r="R472" s="3" t="str">
        <f t="shared" si="61"/>
        <v>Middle_age</v>
      </c>
      <c r="S472" s="11" t="str">
        <f t="shared" si="62"/>
        <v>Medium_profit</v>
      </c>
      <c r="T472" s="13" t="str">
        <f t="shared" si="63"/>
        <v>Jan</v>
      </c>
    </row>
    <row r="473" spans="1:20" x14ac:dyDescent="0.3">
      <c r="A473" s="9">
        <v>45395</v>
      </c>
      <c r="B473" s="3">
        <v>3472</v>
      </c>
      <c r="C473" s="3">
        <v>1018</v>
      </c>
      <c r="D473" s="3">
        <v>2014</v>
      </c>
      <c r="E473" s="3">
        <v>3</v>
      </c>
      <c r="F473" s="3">
        <f>VLOOKUP(Sheet1!$D473,Customers!$A$1:$D$51,2,TRUE)</f>
        <v>58</v>
      </c>
      <c r="G473" s="3" t="str">
        <f>VLOOKUP(Sheet1!$D473,Customers!$A$1:$D$51,3,TRUE)</f>
        <v>Female</v>
      </c>
      <c r="H473" s="3" t="str">
        <f>VLOOKUP(Sheet1!$D473,Customers!$A$1:$D$51,4,TRUE)</f>
        <v>Chandigarh</v>
      </c>
      <c r="I473" s="3" t="str">
        <f>VLOOKUP($C473,Products!$A$1:$E$21,2,TRUE)</f>
        <v>Resistance Band</v>
      </c>
      <c r="J473" s="3" t="str">
        <f>VLOOKUP($C473,Products!$A$1:$E$21,3,TRUE)</f>
        <v>Fitness</v>
      </c>
      <c r="K473" s="4">
        <f>VLOOKUP($C473,Products!$A$1:$E$21,4,TRUE)</f>
        <v>310</v>
      </c>
      <c r="L473" s="4">
        <f>VLOOKUP($C473,Products!$A$1:$E$21,5,TRUE)</f>
        <v>480</v>
      </c>
      <c r="M473" s="4">
        <f t="shared" si="56"/>
        <v>930</v>
      </c>
      <c r="N473" s="4">
        <f t="shared" si="57"/>
        <v>1440</v>
      </c>
      <c r="O473" s="4">
        <f t="shared" si="58"/>
        <v>510</v>
      </c>
      <c r="P473" s="5">
        <f t="shared" si="59"/>
        <v>0.35416666666666669</v>
      </c>
      <c r="Q473" s="3" t="str">
        <f t="shared" si="60"/>
        <v>Medium_order</v>
      </c>
      <c r="R473" s="3" t="str">
        <f t="shared" si="61"/>
        <v>Senior</v>
      </c>
      <c r="S473" s="11" t="str">
        <f t="shared" si="62"/>
        <v>Medium_profit</v>
      </c>
      <c r="T473" s="13" t="str">
        <f t="shared" si="63"/>
        <v>Apr</v>
      </c>
    </row>
    <row r="474" spans="1:20" x14ac:dyDescent="0.3">
      <c r="A474" s="9">
        <v>45390</v>
      </c>
      <c r="B474" s="3">
        <v>3473</v>
      </c>
      <c r="C474" s="3">
        <v>1008</v>
      </c>
      <c r="D474" s="3">
        <v>2013</v>
      </c>
      <c r="E474" s="3">
        <v>7</v>
      </c>
      <c r="F474" s="3">
        <f>VLOOKUP(Sheet1!$D474,Customers!$A$1:$D$51,2,TRUE)</f>
        <v>37</v>
      </c>
      <c r="G474" s="3" t="str">
        <f>VLOOKUP(Sheet1!$D474,Customers!$A$1:$D$51,3,TRUE)</f>
        <v>Male</v>
      </c>
      <c r="H474" s="3" t="str">
        <f>VLOOKUP(Sheet1!$D474,Customers!$A$1:$D$51,4,TRUE)</f>
        <v>Hyderabad</v>
      </c>
      <c r="I474" s="3" t="str">
        <f>VLOOKUP($C474,Products!$A$1:$E$21,2,TRUE)</f>
        <v>USB Cable</v>
      </c>
      <c r="J474" s="3" t="str">
        <f>VLOOKUP($C474,Products!$A$1:$E$21,3,TRUE)</f>
        <v>Accessories</v>
      </c>
      <c r="K474" s="4">
        <f>VLOOKUP($C474,Products!$A$1:$E$21,4,TRUE)</f>
        <v>340</v>
      </c>
      <c r="L474" s="4">
        <f>VLOOKUP($C474,Products!$A$1:$E$21,5,TRUE)</f>
        <v>430</v>
      </c>
      <c r="M474" s="4">
        <f t="shared" si="56"/>
        <v>2380</v>
      </c>
      <c r="N474" s="4">
        <f t="shared" si="57"/>
        <v>3010</v>
      </c>
      <c r="O474" s="4">
        <f t="shared" si="58"/>
        <v>630</v>
      </c>
      <c r="P474" s="5">
        <f t="shared" si="59"/>
        <v>0.20930232558139536</v>
      </c>
      <c r="Q474" s="3" t="str">
        <f t="shared" si="60"/>
        <v>High_order</v>
      </c>
      <c r="R474" s="3" t="str">
        <f t="shared" si="61"/>
        <v>Middle_age</v>
      </c>
      <c r="S474" s="11" t="str">
        <f t="shared" si="62"/>
        <v>Low_profit</v>
      </c>
      <c r="T474" s="13" t="str">
        <f t="shared" si="63"/>
        <v>Apr</v>
      </c>
    </row>
    <row r="475" spans="1:20" x14ac:dyDescent="0.3">
      <c r="A475" s="9">
        <v>45428</v>
      </c>
      <c r="B475" s="3">
        <v>3474</v>
      </c>
      <c r="C475" s="3">
        <v>1007</v>
      </c>
      <c r="D475" s="3">
        <v>2006</v>
      </c>
      <c r="E475" s="3">
        <v>9</v>
      </c>
      <c r="F475" s="3">
        <f>VLOOKUP(Sheet1!$D475,Customers!$A$1:$D$51,2,TRUE)</f>
        <v>32</v>
      </c>
      <c r="G475" s="3" t="str">
        <f>VLOOKUP(Sheet1!$D475,Customers!$A$1:$D$51,3,TRUE)</f>
        <v>Male</v>
      </c>
      <c r="H475" s="3" t="str">
        <f>VLOOKUP(Sheet1!$D475,Customers!$A$1:$D$51,4,TRUE)</f>
        <v>Hyderabad</v>
      </c>
      <c r="I475" s="3" t="str">
        <f>VLOOKUP($C475,Products!$A$1:$E$21,2,TRUE)</f>
        <v>Charger</v>
      </c>
      <c r="J475" s="3" t="str">
        <f>VLOOKUP($C475,Products!$A$1:$E$21,3,TRUE)</f>
        <v>Accessories</v>
      </c>
      <c r="K475" s="4">
        <f>VLOOKUP($C475,Products!$A$1:$E$21,4,TRUE)</f>
        <v>160</v>
      </c>
      <c r="L475" s="4">
        <f>VLOOKUP($C475,Products!$A$1:$E$21,5,TRUE)</f>
        <v>230</v>
      </c>
      <c r="M475" s="4">
        <f t="shared" si="56"/>
        <v>1440</v>
      </c>
      <c r="N475" s="4">
        <f t="shared" si="57"/>
        <v>2070</v>
      </c>
      <c r="O475" s="4">
        <f t="shared" si="58"/>
        <v>630</v>
      </c>
      <c r="P475" s="5">
        <f t="shared" si="59"/>
        <v>0.30434782608695654</v>
      </c>
      <c r="Q475" s="3" t="str">
        <f t="shared" si="60"/>
        <v>Medium_order</v>
      </c>
      <c r="R475" s="3" t="str">
        <f t="shared" si="61"/>
        <v>Middle_age</v>
      </c>
      <c r="S475" s="11" t="str">
        <f t="shared" si="62"/>
        <v>Low_profit</v>
      </c>
      <c r="T475" s="13" t="str">
        <f t="shared" si="63"/>
        <v>May</v>
      </c>
    </row>
    <row r="476" spans="1:20" x14ac:dyDescent="0.3">
      <c r="A476" s="9">
        <v>45375</v>
      </c>
      <c r="B476" s="3">
        <v>3475</v>
      </c>
      <c r="C476" s="3">
        <v>1012</v>
      </c>
      <c r="D476" s="3">
        <v>2033</v>
      </c>
      <c r="E476" s="3">
        <v>2</v>
      </c>
      <c r="F476" s="3">
        <f>VLOOKUP(Sheet1!$D476,Customers!$A$1:$D$51,2,TRUE)</f>
        <v>43</v>
      </c>
      <c r="G476" s="3" t="str">
        <f>VLOOKUP(Sheet1!$D476,Customers!$A$1:$D$51,3,TRUE)</f>
        <v>Female</v>
      </c>
      <c r="H476" s="3" t="str">
        <f>VLOOKUP(Sheet1!$D476,Customers!$A$1:$D$51,4,TRUE)</f>
        <v>Hyderabad</v>
      </c>
      <c r="I476" s="3" t="str">
        <f>VLOOKUP($C476,Products!$A$1:$E$21,2,TRUE)</f>
        <v>Pen Set</v>
      </c>
      <c r="J476" s="3" t="str">
        <f>VLOOKUP($C476,Products!$A$1:$E$21,3,TRUE)</f>
        <v>Office</v>
      </c>
      <c r="K476" s="4">
        <f>VLOOKUP($C476,Products!$A$1:$E$21,4,TRUE)</f>
        <v>380</v>
      </c>
      <c r="L476" s="4">
        <f>VLOOKUP($C476,Products!$A$1:$E$21,5,TRUE)</f>
        <v>510</v>
      </c>
      <c r="M476" s="4">
        <f t="shared" si="56"/>
        <v>760</v>
      </c>
      <c r="N476" s="4">
        <f t="shared" si="57"/>
        <v>1020</v>
      </c>
      <c r="O476" s="4">
        <f t="shared" si="58"/>
        <v>260</v>
      </c>
      <c r="P476" s="5">
        <f t="shared" si="59"/>
        <v>0.25490196078431371</v>
      </c>
      <c r="Q476" s="3" t="str">
        <f t="shared" si="60"/>
        <v>Low_order</v>
      </c>
      <c r="R476" s="3" t="str">
        <f t="shared" si="61"/>
        <v>Senior</v>
      </c>
      <c r="S476" s="11" t="str">
        <f t="shared" si="62"/>
        <v>Low_profit</v>
      </c>
      <c r="T476" s="13" t="str">
        <f t="shared" si="63"/>
        <v>Mar</v>
      </c>
    </row>
    <row r="477" spans="1:20" x14ac:dyDescent="0.3">
      <c r="A477" s="9">
        <v>45607</v>
      </c>
      <c r="B477" s="3">
        <v>3476</v>
      </c>
      <c r="C477" s="3">
        <v>1012</v>
      </c>
      <c r="D477" s="3">
        <v>2003</v>
      </c>
      <c r="E477" s="3">
        <v>7</v>
      </c>
      <c r="F477" s="3">
        <f>VLOOKUP(Sheet1!$D477,Customers!$A$1:$D$51,2,TRUE)</f>
        <v>23</v>
      </c>
      <c r="G477" s="3" t="str">
        <f>VLOOKUP(Sheet1!$D477,Customers!$A$1:$D$51,3,TRUE)</f>
        <v>Female</v>
      </c>
      <c r="H477" s="3" t="str">
        <f>VLOOKUP(Sheet1!$D477,Customers!$A$1:$D$51,4,TRUE)</f>
        <v>Bangalore</v>
      </c>
      <c r="I477" s="3" t="str">
        <f>VLOOKUP($C477,Products!$A$1:$E$21,2,TRUE)</f>
        <v>Pen Set</v>
      </c>
      <c r="J477" s="3" t="str">
        <f>VLOOKUP($C477,Products!$A$1:$E$21,3,TRUE)</f>
        <v>Office</v>
      </c>
      <c r="K477" s="4">
        <f>VLOOKUP($C477,Products!$A$1:$E$21,4,TRUE)</f>
        <v>380</v>
      </c>
      <c r="L477" s="4">
        <f>VLOOKUP($C477,Products!$A$1:$E$21,5,TRUE)</f>
        <v>510</v>
      </c>
      <c r="M477" s="4">
        <f t="shared" si="56"/>
        <v>2660</v>
      </c>
      <c r="N477" s="4">
        <f t="shared" si="57"/>
        <v>3570</v>
      </c>
      <c r="O477" s="4">
        <f t="shared" si="58"/>
        <v>910</v>
      </c>
      <c r="P477" s="5">
        <f t="shared" si="59"/>
        <v>0.25490196078431371</v>
      </c>
      <c r="Q477" s="3" t="str">
        <f t="shared" si="60"/>
        <v>High_order</v>
      </c>
      <c r="R477" s="3" t="str">
        <f t="shared" si="61"/>
        <v>Young</v>
      </c>
      <c r="S477" s="11" t="str">
        <f t="shared" si="62"/>
        <v>Low_profit</v>
      </c>
      <c r="T477" s="13" t="str">
        <f t="shared" si="63"/>
        <v>Nov</v>
      </c>
    </row>
    <row r="478" spans="1:20" x14ac:dyDescent="0.3">
      <c r="A478" s="9">
        <v>45517</v>
      </c>
      <c r="B478" s="3">
        <v>3477</v>
      </c>
      <c r="C478" s="3">
        <v>1004</v>
      </c>
      <c r="D478" s="3">
        <v>2005</v>
      </c>
      <c r="E478" s="3">
        <v>3</v>
      </c>
      <c r="F478" s="3">
        <f>VLOOKUP(Sheet1!$D478,Customers!$A$1:$D$51,2,TRUE)</f>
        <v>56</v>
      </c>
      <c r="G478" s="3" t="str">
        <f>VLOOKUP(Sheet1!$D478,Customers!$A$1:$D$51,3,TRUE)</f>
        <v>Female</v>
      </c>
      <c r="H478" s="3" t="str">
        <f>VLOOKUP(Sheet1!$D478,Customers!$A$1:$D$51,4,TRUE)</f>
        <v>Hyderabad</v>
      </c>
      <c r="I478" s="3" t="str">
        <f>VLOOKUP($C478,Products!$A$1:$E$21,2,TRUE)</f>
        <v>Speaker</v>
      </c>
      <c r="J478" s="3" t="str">
        <f>VLOOKUP($C478,Products!$A$1:$E$21,3,TRUE)</f>
        <v>Electronics</v>
      </c>
      <c r="K478" s="4">
        <f>VLOOKUP($C478,Products!$A$1:$E$21,4,TRUE)</f>
        <v>230</v>
      </c>
      <c r="L478" s="4">
        <f>VLOOKUP($C478,Products!$A$1:$E$21,5,TRUE)</f>
        <v>440</v>
      </c>
      <c r="M478" s="4">
        <f t="shared" si="56"/>
        <v>690</v>
      </c>
      <c r="N478" s="4">
        <f t="shared" si="57"/>
        <v>1320</v>
      </c>
      <c r="O478" s="4">
        <f t="shared" si="58"/>
        <v>630</v>
      </c>
      <c r="P478" s="5">
        <f t="shared" si="59"/>
        <v>0.47727272727272729</v>
      </c>
      <c r="Q478" s="3" t="str">
        <f t="shared" si="60"/>
        <v>Medium_order</v>
      </c>
      <c r="R478" s="3" t="str">
        <f t="shared" si="61"/>
        <v>Senior</v>
      </c>
      <c r="S478" s="11" t="str">
        <f t="shared" si="62"/>
        <v>High_profit</v>
      </c>
      <c r="T478" s="13" t="str">
        <f t="shared" si="63"/>
        <v>Aug</v>
      </c>
    </row>
    <row r="479" spans="1:20" x14ac:dyDescent="0.3">
      <c r="A479" s="9">
        <v>45324</v>
      </c>
      <c r="B479" s="3">
        <v>3478</v>
      </c>
      <c r="C479" s="3">
        <v>1006</v>
      </c>
      <c r="D479" s="3">
        <v>2029</v>
      </c>
      <c r="E479" s="3">
        <v>10</v>
      </c>
      <c r="F479" s="3">
        <f>VLOOKUP(Sheet1!$D479,Customers!$A$1:$D$51,2,TRUE)</f>
        <v>53</v>
      </c>
      <c r="G479" s="3" t="str">
        <f>VLOOKUP(Sheet1!$D479,Customers!$A$1:$D$51,3,TRUE)</f>
        <v>Male</v>
      </c>
      <c r="H479" s="3" t="str">
        <f>VLOOKUP(Sheet1!$D479,Customers!$A$1:$D$51,4,TRUE)</f>
        <v>Delhi</v>
      </c>
      <c r="I479" s="3" t="str">
        <f>VLOOKUP($C479,Products!$A$1:$E$21,2,TRUE)</f>
        <v>Phone Case</v>
      </c>
      <c r="J479" s="3" t="str">
        <f>VLOOKUP($C479,Products!$A$1:$E$21,3,TRUE)</f>
        <v>Accessories</v>
      </c>
      <c r="K479" s="4">
        <f>VLOOKUP($C479,Products!$A$1:$E$21,4,TRUE)</f>
        <v>320</v>
      </c>
      <c r="L479" s="4">
        <f>VLOOKUP($C479,Products!$A$1:$E$21,5,TRUE)</f>
        <v>430</v>
      </c>
      <c r="M479" s="4">
        <f t="shared" si="56"/>
        <v>3200</v>
      </c>
      <c r="N479" s="4">
        <f t="shared" si="57"/>
        <v>4300</v>
      </c>
      <c r="O479" s="4">
        <f t="shared" si="58"/>
        <v>1100</v>
      </c>
      <c r="P479" s="5">
        <f t="shared" si="59"/>
        <v>0.2558139534883721</v>
      </c>
      <c r="Q479" s="3" t="str">
        <f t="shared" si="60"/>
        <v>High_order</v>
      </c>
      <c r="R479" s="3" t="str">
        <f t="shared" si="61"/>
        <v>Senior</v>
      </c>
      <c r="S479" s="11" t="str">
        <f t="shared" si="62"/>
        <v>Low_profit</v>
      </c>
      <c r="T479" s="13" t="str">
        <f t="shared" si="63"/>
        <v>Feb</v>
      </c>
    </row>
    <row r="480" spans="1:20" x14ac:dyDescent="0.3">
      <c r="A480" s="9">
        <v>45509</v>
      </c>
      <c r="B480" s="3">
        <v>3479</v>
      </c>
      <c r="C480" s="3">
        <v>1015</v>
      </c>
      <c r="D480" s="3">
        <v>2005</v>
      </c>
      <c r="E480" s="3">
        <v>8</v>
      </c>
      <c r="F480" s="3">
        <f>VLOOKUP(Sheet1!$D480,Customers!$A$1:$D$51,2,TRUE)</f>
        <v>56</v>
      </c>
      <c r="G480" s="3" t="str">
        <f>VLOOKUP(Sheet1!$D480,Customers!$A$1:$D$51,3,TRUE)</f>
        <v>Female</v>
      </c>
      <c r="H480" s="3" t="str">
        <f>VLOOKUP(Sheet1!$D480,Customers!$A$1:$D$51,4,TRUE)</f>
        <v>Hyderabad</v>
      </c>
      <c r="I480" s="3" t="str">
        <f>VLOOKUP($C480,Products!$A$1:$E$21,2,TRUE)</f>
        <v>Organizer</v>
      </c>
      <c r="J480" s="3" t="str">
        <f>VLOOKUP($C480,Products!$A$1:$E$21,3,TRUE)</f>
        <v>Office</v>
      </c>
      <c r="K480" s="4">
        <f>VLOOKUP($C480,Products!$A$1:$E$21,4,TRUE)</f>
        <v>70</v>
      </c>
      <c r="L480" s="4">
        <f>VLOOKUP($C480,Products!$A$1:$E$21,5,TRUE)</f>
        <v>210</v>
      </c>
      <c r="M480" s="4">
        <f t="shared" si="56"/>
        <v>560</v>
      </c>
      <c r="N480" s="4">
        <f t="shared" si="57"/>
        <v>1680</v>
      </c>
      <c r="O480" s="4">
        <f t="shared" si="58"/>
        <v>1120</v>
      </c>
      <c r="P480" s="5">
        <f t="shared" si="59"/>
        <v>0.66666666666666663</v>
      </c>
      <c r="Q480" s="3" t="str">
        <f t="shared" si="60"/>
        <v>Medium_order</v>
      </c>
      <c r="R480" s="3" t="str">
        <f t="shared" si="61"/>
        <v>Senior</v>
      </c>
      <c r="S480" s="11" t="str">
        <f t="shared" si="62"/>
        <v>High_profit</v>
      </c>
      <c r="T480" s="13" t="str">
        <f t="shared" si="63"/>
        <v>Aug</v>
      </c>
    </row>
    <row r="481" spans="1:20" x14ac:dyDescent="0.3">
      <c r="A481" s="9">
        <v>45461</v>
      </c>
      <c r="B481" s="3">
        <v>3480</v>
      </c>
      <c r="C481" s="3">
        <v>1001</v>
      </c>
      <c r="D481" s="3">
        <v>2048</v>
      </c>
      <c r="E481" s="3">
        <v>5</v>
      </c>
      <c r="F481" s="3">
        <f>VLOOKUP(Sheet1!$D481,Customers!$A$1:$D$51,2,TRUE)</f>
        <v>41</v>
      </c>
      <c r="G481" s="3" t="str">
        <f>VLOOKUP(Sheet1!$D481,Customers!$A$1:$D$51,3,TRUE)</f>
        <v>Female</v>
      </c>
      <c r="H481" s="3" t="str">
        <f>VLOOKUP(Sheet1!$D481,Customers!$A$1:$D$51,4,TRUE)</f>
        <v>Mumbai</v>
      </c>
      <c r="I481" s="3" t="str">
        <f>VLOOKUP($C481,Products!$A$1:$E$21,2,TRUE)</f>
        <v>Headphones</v>
      </c>
      <c r="J481" s="3" t="str">
        <f>VLOOKUP($C481,Products!$A$1:$E$21,3,TRUE)</f>
        <v>Electronics</v>
      </c>
      <c r="K481" s="4">
        <f>VLOOKUP($C481,Products!$A$1:$E$21,4,TRUE)</f>
        <v>380</v>
      </c>
      <c r="L481" s="4">
        <f>VLOOKUP($C481,Products!$A$1:$E$21,5,TRUE)</f>
        <v>550</v>
      </c>
      <c r="M481" s="4">
        <f t="shared" si="56"/>
        <v>1900</v>
      </c>
      <c r="N481" s="4">
        <f t="shared" si="57"/>
        <v>2750</v>
      </c>
      <c r="O481" s="4">
        <f t="shared" si="58"/>
        <v>850</v>
      </c>
      <c r="P481" s="5">
        <f t="shared" si="59"/>
        <v>0.30909090909090908</v>
      </c>
      <c r="Q481" s="3" t="str">
        <f t="shared" si="60"/>
        <v>High_order</v>
      </c>
      <c r="R481" s="3" t="str">
        <f t="shared" si="61"/>
        <v>Senior</v>
      </c>
      <c r="S481" s="11" t="str">
        <f t="shared" si="62"/>
        <v>Low_profit</v>
      </c>
      <c r="T481" s="13" t="str">
        <f t="shared" si="63"/>
        <v>Jun</v>
      </c>
    </row>
    <row r="482" spans="1:20" x14ac:dyDescent="0.3">
      <c r="A482" s="9">
        <v>45638</v>
      </c>
      <c r="B482" s="3">
        <v>3481</v>
      </c>
      <c r="C482" s="3">
        <v>1014</v>
      </c>
      <c r="D482" s="3">
        <v>2011</v>
      </c>
      <c r="E482" s="3">
        <v>2</v>
      </c>
      <c r="F482" s="3">
        <f>VLOOKUP(Sheet1!$D482,Customers!$A$1:$D$51,2,TRUE)</f>
        <v>33</v>
      </c>
      <c r="G482" s="3" t="str">
        <f>VLOOKUP(Sheet1!$D482,Customers!$A$1:$D$51,3,TRUE)</f>
        <v>Female</v>
      </c>
      <c r="H482" s="3" t="str">
        <f>VLOOKUP(Sheet1!$D482,Customers!$A$1:$D$51,4,TRUE)</f>
        <v>Chandigarh</v>
      </c>
      <c r="I482" s="3" t="str">
        <f>VLOOKUP($C482,Products!$A$1:$E$21,2,TRUE)</f>
        <v>Stapler</v>
      </c>
      <c r="J482" s="3" t="str">
        <f>VLOOKUP($C482,Products!$A$1:$E$21,3,TRUE)</f>
        <v>Office</v>
      </c>
      <c r="K482" s="4">
        <f>VLOOKUP($C482,Products!$A$1:$E$21,4,TRUE)</f>
        <v>170</v>
      </c>
      <c r="L482" s="4">
        <f>VLOOKUP($C482,Products!$A$1:$E$21,5,TRUE)</f>
        <v>280</v>
      </c>
      <c r="M482" s="4">
        <f t="shared" si="56"/>
        <v>340</v>
      </c>
      <c r="N482" s="4">
        <f t="shared" si="57"/>
        <v>560</v>
      </c>
      <c r="O482" s="4">
        <f t="shared" si="58"/>
        <v>220</v>
      </c>
      <c r="P482" s="5">
        <f t="shared" si="59"/>
        <v>0.39285714285714285</v>
      </c>
      <c r="Q482" s="3" t="str">
        <f t="shared" si="60"/>
        <v>Low_order</v>
      </c>
      <c r="R482" s="3" t="str">
        <f t="shared" si="61"/>
        <v>Middle_age</v>
      </c>
      <c r="S482" s="11" t="str">
        <f t="shared" si="62"/>
        <v>Medium_profit</v>
      </c>
      <c r="T482" s="13" t="str">
        <f t="shared" si="63"/>
        <v>Dec</v>
      </c>
    </row>
    <row r="483" spans="1:20" x14ac:dyDescent="0.3">
      <c r="A483" s="9">
        <v>45363</v>
      </c>
      <c r="B483" s="3">
        <v>3482</v>
      </c>
      <c r="C483" s="3">
        <v>1002</v>
      </c>
      <c r="D483" s="3">
        <v>2036</v>
      </c>
      <c r="E483" s="3">
        <v>3</v>
      </c>
      <c r="F483" s="3">
        <f>VLOOKUP(Sheet1!$D483,Customers!$A$1:$D$51,2,TRUE)</f>
        <v>30</v>
      </c>
      <c r="G483" s="3" t="str">
        <f>VLOOKUP(Sheet1!$D483,Customers!$A$1:$D$51,3,TRUE)</f>
        <v>Male</v>
      </c>
      <c r="H483" s="3" t="str">
        <f>VLOOKUP(Sheet1!$D483,Customers!$A$1:$D$51,4,TRUE)</f>
        <v>Delhi</v>
      </c>
      <c r="I483" s="3" t="str">
        <f>VLOOKUP($C483,Products!$A$1:$E$21,2,TRUE)</f>
        <v>Keyboard</v>
      </c>
      <c r="J483" s="3" t="str">
        <f>VLOOKUP($C483,Products!$A$1:$E$21,3,TRUE)</f>
        <v>Electronics</v>
      </c>
      <c r="K483" s="4">
        <f>VLOOKUP($C483,Products!$A$1:$E$21,4,TRUE)</f>
        <v>230</v>
      </c>
      <c r="L483" s="4">
        <f>VLOOKUP($C483,Products!$A$1:$E$21,5,TRUE)</f>
        <v>400</v>
      </c>
      <c r="M483" s="4">
        <f t="shared" si="56"/>
        <v>690</v>
      </c>
      <c r="N483" s="4">
        <f t="shared" si="57"/>
        <v>1200</v>
      </c>
      <c r="O483" s="4">
        <f t="shared" si="58"/>
        <v>510</v>
      </c>
      <c r="P483" s="5">
        <f t="shared" si="59"/>
        <v>0.42499999999999999</v>
      </c>
      <c r="Q483" s="3" t="str">
        <f t="shared" ref="Q483:Q501" si="64">IF($N483&lt;$N$508,"Low_order",IF($N483&lt;$N$509,"Medium_order","High_order"))</f>
        <v>Low_order</v>
      </c>
      <c r="R483" s="3" t="str">
        <f t="shared" si="61"/>
        <v>Young</v>
      </c>
      <c r="S483" s="11" t="str">
        <f t="shared" ref="S483:S501" si="65">IF(P483&lt;$P$508,"Low_profit",IF(P483&lt;$P$509,"Medium_profit","High_profit"))</f>
        <v>High_profit</v>
      </c>
      <c r="T483" s="13" t="str">
        <f t="shared" si="63"/>
        <v>Mar</v>
      </c>
    </row>
    <row r="484" spans="1:20" x14ac:dyDescent="0.3">
      <c r="A484" s="9">
        <v>45355</v>
      </c>
      <c r="B484" s="3">
        <v>3483</v>
      </c>
      <c r="C484" s="3">
        <v>1020</v>
      </c>
      <c r="D484" s="3">
        <v>2041</v>
      </c>
      <c r="E484" s="3">
        <v>5</v>
      </c>
      <c r="F484" s="3">
        <f>VLOOKUP(Sheet1!$D484,Customers!$A$1:$D$51,2,TRUE)</f>
        <v>28</v>
      </c>
      <c r="G484" s="3" t="str">
        <f>VLOOKUP(Sheet1!$D484,Customers!$A$1:$D$51,3,TRUE)</f>
        <v>Male</v>
      </c>
      <c r="H484" s="3" t="str">
        <f>VLOOKUP(Sheet1!$D484,Customers!$A$1:$D$51,4,TRUE)</f>
        <v>Pune</v>
      </c>
      <c r="I484" s="3" t="str">
        <f>VLOOKUP($C484,Products!$A$1:$E$21,2,TRUE)</f>
        <v>Water Bottle</v>
      </c>
      <c r="J484" s="3" t="str">
        <f>VLOOKUP($C484,Products!$A$1:$E$21,3,TRUE)</f>
        <v>Fitness</v>
      </c>
      <c r="K484" s="4">
        <f>VLOOKUP($C484,Products!$A$1:$E$21,4,TRUE)</f>
        <v>400</v>
      </c>
      <c r="L484" s="4">
        <f>VLOOKUP($C484,Products!$A$1:$E$21,5,TRUE)</f>
        <v>560</v>
      </c>
      <c r="M484" s="4">
        <f t="shared" si="56"/>
        <v>2000</v>
      </c>
      <c r="N484" s="4">
        <f t="shared" si="57"/>
        <v>2800</v>
      </c>
      <c r="O484" s="4">
        <f t="shared" si="58"/>
        <v>800</v>
      </c>
      <c r="P484" s="5">
        <f t="shared" si="59"/>
        <v>0.2857142857142857</v>
      </c>
      <c r="Q484" s="3" t="str">
        <f t="shared" si="64"/>
        <v>High_order</v>
      </c>
      <c r="R484" s="3" t="str">
        <f t="shared" si="61"/>
        <v>Young</v>
      </c>
      <c r="S484" s="11" t="str">
        <f t="shared" si="65"/>
        <v>Low_profit</v>
      </c>
      <c r="T484" s="13" t="str">
        <f t="shared" si="63"/>
        <v>Mar</v>
      </c>
    </row>
    <row r="485" spans="1:20" x14ac:dyDescent="0.3">
      <c r="A485" s="9">
        <v>45347</v>
      </c>
      <c r="B485" s="3">
        <v>3484</v>
      </c>
      <c r="C485" s="3">
        <v>1004</v>
      </c>
      <c r="D485" s="3">
        <v>2049</v>
      </c>
      <c r="E485" s="3">
        <v>10</v>
      </c>
      <c r="F485" s="3">
        <f>VLOOKUP(Sheet1!$D485,Customers!$A$1:$D$51,2,TRUE)</f>
        <v>44</v>
      </c>
      <c r="G485" s="3" t="str">
        <f>VLOOKUP(Sheet1!$D485,Customers!$A$1:$D$51,3,TRUE)</f>
        <v>Female</v>
      </c>
      <c r="H485" s="3" t="str">
        <f>VLOOKUP(Sheet1!$D485,Customers!$A$1:$D$51,4,TRUE)</f>
        <v>Delhi</v>
      </c>
      <c r="I485" s="3" t="str">
        <f>VLOOKUP($C485,Products!$A$1:$E$21,2,TRUE)</f>
        <v>Speaker</v>
      </c>
      <c r="J485" s="3" t="str">
        <f>VLOOKUP($C485,Products!$A$1:$E$21,3,TRUE)</f>
        <v>Electronics</v>
      </c>
      <c r="K485" s="4">
        <f>VLOOKUP($C485,Products!$A$1:$E$21,4,TRUE)</f>
        <v>230</v>
      </c>
      <c r="L485" s="4">
        <f>VLOOKUP($C485,Products!$A$1:$E$21,5,TRUE)</f>
        <v>440</v>
      </c>
      <c r="M485" s="4">
        <f t="shared" si="56"/>
        <v>2300</v>
      </c>
      <c r="N485" s="4">
        <f t="shared" si="57"/>
        <v>4400</v>
      </c>
      <c r="O485" s="4">
        <f t="shared" si="58"/>
        <v>2100</v>
      </c>
      <c r="P485" s="5">
        <f t="shared" si="59"/>
        <v>0.47727272727272729</v>
      </c>
      <c r="Q485" s="3" t="str">
        <f t="shared" si="64"/>
        <v>High_order</v>
      </c>
      <c r="R485" s="3" t="str">
        <f t="shared" si="61"/>
        <v>Senior</v>
      </c>
      <c r="S485" s="11" t="str">
        <f t="shared" si="65"/>
        <v>High_profit</v>
      </c>
      <c r="T485" s="13" t="str">
        <f t="shared" si="63"/>
        <v>Feb</v>
      </c>
    </row>
    <row r="486" spans="1:20" x14ac:dyDescent="0.3">
      <c r="A486" s="9">
        <v>45620</v>
      </c>
      <c r="B486" s="3">
        <v>3485</v>
      </c>
      <c r="C486" s="3">
        <v>1019</v>
      </c>
      <c r="D486" s="3">
        <v>2001</v>
      </c>
      <c r="E486" s="3">
        <v>6</v>
      </c>
      <c r="F486" s="3">
        <f>VLOOKUP(Sheet1!$D486,Customers!$A$1:$D$51,2,TRUE)</f>
        <v>44</v>
      </c>
      <c r="G486" s="3" t="str">
        <f>VLOOKUP(Sheet1!$D486,Customers!$A$1:$D$51,3,TRUE)</f>
        <v>Male</v>
      </c>
      <c r="H486" s="3" t="str">
        <f>VLOOKUP(Sheet1!$D486,Customers!$A$1:$D$51,4,TRUE)</f>
        <v>Delhi</v>
      </c>
      <c r="I486" s="3" t="str">
        <f>VLOOKUP($C486,Products!$A$1:$E$21,2,TRUE)</f>
        <v>Skipping Rope</v>
      </c>
      <c r="J486" s="3" t="str">
        <f>VLOOKUP($C486,Products!$A$1:$E$21,3,TRUE)</f>
        <v>Fitness</v>
      </c>
      <c r="K486" s="4">
        <f>VLOOKUP($C486,Products!$A$1:$E$21,4,TRUE)</f>
        <v>140</v>
      </c>
      <c r="L486" s="4">
        <f>VLOOKUP($C486,Products!$A$1:$E$21,5,TRUE)</f>
        <v>270</v>
      </c>
      <c r="M486" s="4">
        <f t="shared" si="56"/>
        <v>840</v>
      </c>
      <c r="N486" s="4">
        <f t="shared" si="57"/>
        <v>1620</v>
      </c>
      <c r="O486" s="4">
        <f t="shared" si="58"/>
        <v>780</v>
      </c>
      <c r="P486" s="5">
        <f t="shared" si="59"/>
        <v>0.48148148148148145</v>
      </c>
      <c r="Q486" s="3" t="str">
        <f t="shared" si="64"/>
        <v>Medium_order</v>
      </c>
      <c r="R486" s="3" t="str">
        <f t="shared" si="61"/>
        <v>Senior</v>
      </c>
      <c r="S486" s="11" t="str">
        <f t="shared" si="65"/>
        <v>High_profit</v>
      </c>
      <c r="T486" s="13" t="str">
        <f t="shared" si="63"/>
        <v>Nov</v>
      </c>
    </row>
    <row r="487" spans="1:20" x14ac:dyDescent="0.3">
      <c r="A487" s="9">
        <v>45609</v>
      </c>
      <c r="B487" s="3">
        <v>3486</v>
      </c>
      <c r="C487" s="3">
        <v>1004</v>
      </c>
      <c r="D487" s="3">
        <v>2005</v>
      </c>
      <c r="E487" s="3">
        <v>9</v>
      </c>
      <c r="F487" s="3">
        <f>VLOOKUP(Sheet1!$D487,Customers!$A$1:$D$51,2,TRUE)</f>
        <v>56</v>
      </c>
      <c r="G487" s="3" t="str">
        <f>VLOOKUP(Sheet1!$D487,Customers!$A$1:$D$51,3,TRUE)</f>
        <v>Female</v>
      </c>
      <c r="H487" s="3" t="str">
        <f>VLOOKUP(Sheet1!$D487,Customers!$A$1:$D$51,4,TRUE)</f>
        <v>Hyderabad</v>
      </c>
      <c r="I487" s="3" t="str">
        <f>VLOOKUP($C487,Products!$A$1:$E$21,2,TRUE)</f>
        <v>Speaker</v>
      </c>
      <c r="J487" s="3" t="str">
        <f>VLOOKUP($C487,Products!$A$1:$E$21,3,TRUE)</f>
        <v>Electronics</v>
      </c>
      <c r="K487" s="4">
        <f>VLOOKUP($C487,Products!$A$1:$E$21,4,TRUE)</f>
        <v>230</v>
      </c>
      <c r="L487" s="4">
        <f>VLOOKUP($C487,Products!$A$1:$E$21,5,TRUE)</f>
        <v>440</v>
      </c>
      <c r="M487" s="4">
        <f t="shared" si="56"/>
        <v>2070</v>
      </c>
      <c r="N487" s="4">
        <f t="shared" si="57"/>
        <v>3960</v>
      </c>
      <c r="O487" s="4">
        <f t="shared" si="58"/>
        <v>1890</v>
      </c>
      <c r="P487" s="5">
        <f t="shared" si="59"/>
        <v>0.47727272727272729</v>
      </c>
      <c r="Q487" s="3" t="str">
        <f t="shared" si="64"/>
        <v>High_order</v>
      </c>
      <c r="R487" s="3" t="str">
        <f t="shared" si="61"/>
        <v>Senior</v>
      </c>
      <c r="S487" s="11" t="str">
        <f t="shared" si="65"/>
        <v>High_profit</v>
      </c>
      <c r="T487" s="13" t="str">
        <f t="shared" si="63"/>
        <v>Nov</v>
      </c>
    </row>
    <row r="488" spans="1:20" x14ac:dyDescent="0.3">
      <c r="A488" s="9">
        <v>45370</v>
      </c>
      <c r="B488" s="3">
        <v>3487</v>
      </c>
      <c r="C488" s="3">
        <v>1010</v>
      </c>
      <c r="D488" s="3">
        <v>2023</v>
      </c>
      <c r="E488" s="3">
        <v>8</v>
      </c>
      <c r="F488" s="3">
        <f>VLOOKUP(Sheet1!$D488,Customers!$A$1:$D$51,2,TRUE)</f>
        <v>41</v>
      </c>
      <c r="G488" s="3" t="str">
        <f>VLOOKUP(Sheet1!$D488,Customers!$A$1:$D$51,3,TRUE)</f>
        <v>Male</v>
      </c>
      <c r="H488" s="3" t="str">
        <f>VLOOKUP(Sheet1!$D488,Customers!$A$1:$D$51,4,TRUE)</f>
        <v>Delhi</v>
      </c>
      <c r="I488" s="3" t="str">
        <f>VLOOKUP($C488,Products!$A$1:$E$21,2,TRUE)</f>
        <v>Laptop Sleeve</v>
      </c>
      <c r="J488" s="3" t="str">
        <f>VLOOKUP($C488,Products!$A$1:$E$21,3,TRUE)</f>
        <v>Accessories</v>
      </c>
      <c r="K488" s="4">
        <f>VLOOKUP($C488,Products!$A$1:$E$21,4,TRUE)</f>
        <v>290</v>
      </c>
      <c r="L488" s="4">
        <f>VLOOKUP($C488,Products!$A$1:$E$21,5,TRUE)</f>
        <v>470</v>
      </c>
      <c r="M488" s="4">
        <f t="shared" si="56"/>
        <v>2320</v>
      </c>
      <c r="N488" s="4">
        <f t="shared" si="57"/>
        <v>3760</v>
      </c>
      <c r="O488" s="4">
        <f t="shared" si="58"/>
        <v>1440</v>
      </c>
      <c r="P488" s="5">
        <f t="shared" si="59"/>
        <v>0.38297872340425532</v>
      </c>
      <c r="Q488" s="3" t="str">
        <f t="shared" si="64"/>
        <v>High_order</v>
      </c>
      <c r="R488" s="3" t="str">
        <f t="shared" si="61"/>
        <v>Senior</v>
      </c>
      <c r="S488" s="11" t="str">
        <f t="shared" si="65"/>
        <v>Medium_profit</v>
      </c>
      <c r="T488" s="13" t="str">
        <f t="shared" si="63"/>
        <v>Mar</v>
      </c>
    </row>
    <row r="489" spans="1:20" x14ac:dyDescent="0.3">
      <c r="A489" s="9">
        <v>45429</v>
      </c>
      <c r="B489" s="3">
        <v>3488</v>
      </c>
      <c r="C489" s="3">
        <v>1005</v>
      </c>
      <c r="D489" s="3">
        <v>2018</v>
      </c>
      <c r="E489" s="3">
        <v>5</v>
      </c>
      <c r="F489" s="3">
        <f>VLOOKUP(Sheet1!$D489,Customers!$A$1:$D$51,2,TRUE)</f>
        <v>38</v>
      </c>
      <c r="G489" s="3" t="str">
        <f>VLOOKUP(Sheet1!$D489,Customers!$A$1:$D$51,3,TRUE)</f>
        <v>Female</v>
      </c>
      <c r="H489" s="3" t="str">
        <f>VLOOKUP(Sheet1!$D489,Customers!$A$1:$D$51,4,TRUE)</f>
        <v>Pune</v>
      </c>
      <c r="I489" s="3" t="str">
        <f>VLOOKUP($C489,Products!$A$1:$E$21,2,TRUE)</f>
        <v>Webcam</v>
      </c>
      <c r="J489" s="3" t="str">
        <f>VLOOKUP($C489,Products!$A$1:$E$21,3,TRUE)</f>
        <v>Electronics</v>
      </c>
      <c r="K489" s="4">
        <f>VLOOKUP($C489,Products!$A$1:$E$21,4,TRUE)</f>
        <v>340</v>
      </c>
      <c r="L489" s="4">
        <f>VLOOKUP($C489,Products!$A$1:$E$21,5,TRUE)</f>
        <v>520</v>
      </c>
      <c r="M489" s="4">
        <f t="shared" si="56"/>
        <v>1700</v>
      </c>
      <c r="N489" s="4">
        <f t="shared" si="57"/>
        <v>2600</v>
      </c>
      <c r="O489" s="4">
        <f t="shared" si="58"/>
        <v>900</v>
      </c>
      <c r="P489" s="5">
        <f t="shared" si="59"/>
        <v>0.34615384615384615</v>
      </c>
      <c r="Q489" s="3" t="str">
        <f t="shared" si="64"/>
        <v>High_order</v>
      </c>
      <c r="R489" s="3" t="str">
        <f t="shared" si="61"/>
        <v>Middle_age</v>
      </c>
      <c r="S489" s="11" t="str">
        <f t="shared" si="65"/>
        <v>Medium_profit</v>
      </c>
      <c r="T489" s="13" t="str">
        <f t="shared" si="63"/>
        <v>May</v>
      </c>
    </row>
    <row r="490" spans="1:20" x14ac:dyDescent="0.3">
      <c r="A490" s="9">
        <v>45649</v>
      </c>
      <c r="B490" s="3">
        <v>3489</v>
      </c>
      <c r="C490" s="3">
        <v>1013</v>
      </c>
      <c r="D490" s="3">
        <v>2038</v>
      </c>
      <c r="E490" s="3">
        <v>10</v>
      </c>
      <c r="F490" s="3">
        <f>VLOOKUP(Sheet1!$D490,Customers!$A$1:$D$51,2,TRUE)</f>
        <v>22</v>
      </c>
      <c r="G490" s="3" t="str">
        <f>VLOOKUP(Sheet1!$D490,Customers!$A$1:$D$51,3,TRUE)</f>
        <v>Male</v>
      </c>
      <c r="H490" s="3" t="str">
        <f>VLOOKUP(Sheet1!$D490,Customers!$A$1:$D$51,4,TRUE)</f>
        <v>Bangalore</v>
      </c>
      <c r="I490" s="3" t="str">
        <f>VLOOKUP($C490,Products!$A$1:$E$21,2,TRUE)</f>
        <v>Desk Lamp</v>
      </c>
      <c r="J490" s="3" t="str">
        <f>VLOOKUP($C490,Products!$A$1:$E$21,3,TRUE)</f>
        <v>Office</v>
      </c>
      <c r="K490" s="4">
        <f>VLOOKUP($C490,Products!$A$1:$E$21,4,TRUE)</f>
        <v>140</v>
      </c>
      <c r="L490" s="4">
        <f>VLOOKUP($C490,Products!$A$1:$E$21,5,TRUE)</f>
        <v>390</v>
      </c>
      <c r="M490" s="4">
        <f t="shared" si="56"/>
        <v>1400</v>
      </c>
      <c r="N490" s="4">
        <f t="shared" si="57"/>
        <v>3900</v>
      </c>
      <c r="O490" s="4">
        <f t="shared" si="58"/>
        <v>2500</v>
      </c>
      <c r="P490" s="5">
        <f t="shared" si="59"/>
        <v>0.64102564102564108</v>
      </c>
      <c r="Q490" s="3" t="str">
        <f t="shared" si="64"/>
        <v>High_order</v>
      </c>
      <c r="R490" s="3" t="str">
        <f t="shared" si="61"/>
        <v>Young</v>
      </c>
      <c r="S490" s="11" t="str">
        <f t="shared" si="65"/>
        <v>High_profit</v>
      </c>
      <c r="T490" s="13" t="str">
        <f t="shared" si="63"/>
        <v>Dec</v>
      </c>
    </row>
    <row r="491" spans="1:20" x14ac:dyDescent="0.3">
      <c r="A491" s="9">
        <v>45489</v>
      </c>
      <c r="B491" s="3">
        <v>3490</v>
      </c>
      <c r="C491" s="3">
        <v>1004</v>
      </c>
      <c r="D491" s="3">
        <v>2006</v>
      </c>
      <c r="E491" s="3">
        <v>3</v>
      </c>
      <c r="F491" s="3">
        <f>VLOOKUP(Sheet1!$D491,Customers!$A$1:$D$51,2,TRUE)</f>
        <v>32</v>
      </c>
      <c r="G491" s="3" t="str">
        <f>VLOOKUP(Sheet1!$D491,Customers!$A$1:$D$51,3,TRUE)</f>
        <v>Male</v>
      </c>
      <c r="H491" s="3" t="str">
        <f>VLOOKUP(Sheet1!$D491,Customers!$A$1:$D$51,4,TRUE)</f>
        <v>Hyderabad</v>
      </c>
      <c r="I491" s="3" t="str">
        <f>VLOOKUP($C491,Products!$A$1:$E$21,2,TRUE)</f>
        <v>Speaker</v>
      </c>
      <c r="J491" s="3" t="str">
        <f>VLOOKUP($C491,Products!$A$1:$E$21,3,TRUE)</f>
        <v>Electronics</v>
      </c>
      <c r="K491" s="4">
        <f>VLOOKUP($C491,Products!$A$1:$E$21,4,TRUE)</f>
        <v>230</v>
      </c>
      <c r="L491" s="4">
        <f>VLOOKUP($C491,Products!$A$1:$E$21,5,TRUE)</f>
        <v>440</v>
      </c>
      <c r="M491" s="4">
        <f t="shared" si="56"/>
        <v>690</v>
      </c>
      <c r="N491" s="4">
        <f t="shared" si="57"/>
        <v>1320</v>
      </c>
      <c r="O491" s="4">
        <f t="shared" si="58"/>
        <v>630</v>
      </c>
      <c r="P491" s="5">
        <f t="shared" si="59"/>
        <v>0.47727272727272729</v>
      </c>
      <c r="Q491" s="3" t="str">
        <f t="shared" si="64"/>
        <v>Medium_order</v>
      </c>
      <c r="R491" s="3" t="str">
        <f t="shared" si="61"/>
        <v>Middle_age</v>
      </c>
      <c r="S491" s="11" t="str">
        <f t="shared" si="65"/>
        <v>High_profit</v>
      </c>
      <c r="T491" s="13" t="str">
        <f t="shared" si="63"/>
        <v>Jul</v>
      </c>
    </row>
    <row r="492" spans="1:20" x14ac:dyDescent="0.3">
      <c r="A492" s="9">
        <v>45429</v>
      </c>
      <c r="B492" s="3">
        <v>3491</v>
      </c>
      <c r="C492" s="3">
        <v>1012</v>
      </c>
      <c r="D492" s="3">
        <v>2026</v>
      </c>
      <c r="E492" s="3">
        <v>6</v>
      </c>
      <c r="F492" s="3">
        <f>VLOOKUP(Sheet1!$D492,Customers!$A$1:$D$51,2,TRUE)</f>
        <v>27</v>
      </c>
      <c r="G492" s="3" t="str">
        <f>VLOOKUP(Sheet1!$D492,Customers!$A$1:$D$51,3,TRUE)</f>
        <v>Female</v>
      </c>
      <c r="H492" s="3" t="str">
        <f>VLOOKUP(Sheet1!$D492,Customers!$A$1:$D$51,4,TRUE)</f>
        <v>Mumbai</v>
      </c>
      <c r="I492" s="3" t="str">
        <f>VLOOKUP($C492,Products!$A$1:$E$21,2,TRUE)</f>
        <v>Pen Set</v>
      </c>
      <c r="J492" s="3" t="str">
        <f>VLOOKUP($C492,Products!$A$1:$E$21,3,TRUE)</f>
        <v>Office</v>
      </c>
      <c r="K492" s="4">
        <f>VLOOKUP($C492,Products!$A$1:$E$21,4,TRUE)</f>
        <v>380</v>
      </c>
      <c r="L492" s="4">
        <f>VLOOKUP($C492,Products!$A$1:$E$21,5,TRUE)</f>
        <v>510</v>
      </c>
      <c r="M492" s="4">
        <f t="shared" si="56"/>
        <v>2280</v>
      </c>
      <c r="N492" s="4">
        <f t="shared" si="57"/>
        <v>3060</v>
      </c>
      <c r="O492" s="4">
        <f t="shared" si="58"/>
        <v>780</v>
      </c>
      <c r="P492" s="5">
        <f t="shared" si="59"/>
        <v>0.25490196078431371</v>
      </c>
      <c r="Q492" s="3" t="str">
        <f t="shared" si="64"/>
        <v>High_order</v>
      </c>
      <c r="R492" s="3" t="str">
        <f t="shared" si="61"/>
        <v>Young</v>
      </c>
      <c r="S492" s="11" t="str">
        <f t="shared" si="65"/>
        <v>Low_profit</v>
      </c>
      <c r="T492" s="13" t="str">
        <f t="shared" si="63"/>
        <v>May</v>
      </c>
    </row>
    <row r="493" spans="1:20" x14ac:dyDescent="0.3">
      <c r="A493" s="9">
        <v>45444</v>
      </c>
      <c r="B493" s="3">
        <v>3492</v>
      </c>
      <c r="C493" s="3">
        <v>1014</v>
      </c>
      <c r="D493" s="3">
        <v>2027</v>
      </c>
      <c r="E493" s="3">
        <v>6</v>
      </c>
      <c r="F493" s="3">
        <f>VLOOKUP(Sheet1!$D493,Customers!$A$1:$D$51,2,TRUE)</f>
        <v>27</v>
      </c>
      <c r="G493" s="3" t="str">
        <f>VLOOKUP(Sheet1!$D493,Customers!$A$1:$D$51,3,TRUE)</f>
        <v>Female</v>
      </c>
      <c r="H493" s="3" t="str">
        <f>VLOOKUP(Sheet1!$D493,Customers!$A$1:$D$51,4,TRUE)</f>
        <v>Chandigarh</v>
      </c>
      <c r="I493" s="3" t="str">
        <f>VLOOKUP($C493,Products!$A$1:$E$21,2,TRUE)</f>
        <v>Stapler</v>
      </c>
      <c r="J493" s="3" t="str">
        <f>VLOOKUP($C493,Products!$A$1:$E$21,3,TRUE)</f>
        <v>Office</v>
      </c>
      <c r="K493" s="4">
        <f>VLOOKUP($C493,Products!$A$1:$E$21,4,TRUE)</f>
        <v>170</v>
      </c>
      <c r="L493" s="4">
        <f>VLOOKUP($C493,Products!$A$1:$E$21,5,TRUE)</f>
        <v>280</v>
      </c>
      <c r="M493" s="4">
        <f t="shared" si="56"/>
        <v>1020</v>
      </c>
      <c r="N493" s="4">
        <f t="shared" si="57"/>
        <v>1680</v>
      </c>
      <c r="O493" s="4">
        <f t="shared" si="58"/>
        <v>660</v>
      </c>
      <c r="P493" s="5">
        <f t="shared" si="59"/>
        <v>0.39285714285714285</v>
      </c>
      <c r="Q493" s="3" t="str">
        <f t="shared" si="64"/>
        <v>Medium_order</v>
      </c>
      <c r="R493" s="3" t="str">
        <f t="shared" si="61"/>
        <v>Young</v>
      </c>
      <c r="S493" s="11" t="str">
        <f t="shared" si="65"/>
        <v>Medium_profit</v>
      </c>
      <c r="T493" s="13" t="str">
        <f t="shared" si="63"/>
        <v>Jun</v>
      </c>
    </row>
    <row r="494" spans="1:20" x14ac:dyDescent="0.3">
      <c r="A494" s="9">
        <v>45428</v>
      </c>
      <c r="B494" s="3">
        <v>3493</v>
      </c>
      <c r="C494" s="3">
        <v>1009</v>
      </c>
      <c r="D494" s="3">
        <v>2031</v>
      </c>
      <c r="E494" s="3">
        <v>10</v>
      </c>
      <c r="F494" s="3">
        <f>VLOOKUP(Sheet1!$D494,Customers!$A$1:$D$51,2,TRUE)</f>
        <v>38</v>
      </c>
      <c r="G494" s="3" t="str">
        <f>VLOOKUP(Sheet1!$D494,Customers!$A$1:$D$51,3,TRUE)</f>
        <v>Male</v>
      </c>
      <c r="H494" s="3" t="str">
        <f>VLOOKUP(Sheet1!$D494,Customers!$A$1:$D$51,4,TRUE)</f>
        <v>Bangalore</v>
      </c>
      <c r="I494" s="3" t="str">
        <f>VLOOKUP($C494,Products!$A$1:$E$21,2,TRUE)</f>
        <v>Power Bank</v>
      </c>
      <c r="J494" s="3" t="str">
        <f>VLOOKUP($C494,Products!$A$1:$E$21,3,TRUE)</f>
        <v>Accessories</v>
      </c>
      <c r="K494" s="4">
        <f>VLOOKUP($C494,Products!$A$1:$E$21,4,TRUE)</f>
        <v>50</v>
      </c>
      <c r="L494" s="4">
        <f>VLOOKUP($C494,Products!$A$1:$E$21,5,TRUE)</f>
        <v>220</v>
      </c>
      <c r="M494" s="4">
        <f t="shared" si="56"/>
        <v>500</v>
      </c>
      <c r="N494" s="4">
        <f t="shared" si="57"/>
        <v>2200</v>
      </c>
      <c r="O494" s="4">
        <f t="shared" si="58"/>
        <v>1700</v>
      </c>
      <c r="P494" s="5">
        <f t="shared" si="59"/>
        <v>0.77272727272727271</v>
      </c>
      <c r="Q494" s="3" t="str">
        <f t="shared" si="64"/>
        <v>Medium_order</v>
      </c>
      <c r="R494" s="3" t="str">
        <f t="shared" si="61"/>
        <v>Middle_age</v>
      </c>
      <c r="S494" s="11" t="str">
        <f t="shared" si="65"/>
        <v>High_profit</v>
      </c>
      <c r="T494" s="13" t="str">
        <f t="shared" si="63"/>
        <v>May</v>
      </c>
    </row>
    <row r="495" spans="1:20" x14ac:dyDescent="0.3">
      <c r="A495" s="9">
        <v>45410</v>
      </c>
      <c r="B495" s="3">
        <v>3494</v>
      </c>
      <c r="C495" s="3">
        <v>1017</v>
      </c>
      <c r="D495" s="3">
        <v>2023</v>
      </c>
      <c r="E495" s="3">
        <v>6</v>
      </c>
      <c r="F495" s="3">
        <f>VLOOKUP(Sheet1!$D495,Customers!$A$1:$D$51,2,TRUE)</f>
        <v>41</v>
      </c>
      <c r="G495" s="3" t="str">
        <f>VLOOKUP(Sheet1!$D495,Customers!$A$1:$D$51,3,TRUE)</f>
        <v>Male</v>
      </c>
      <c r="H495" s="3" t="str">
        <f>VLOOKUP(Sheet1!$D495,Customers!$A$1:$D$51,4,TRUE)</f>
        <v>Delhi</v>
      </c>
      <c r="I495" s="3" t="str">
        <f>VLOOKUP($C495,Products!$A$1:$E$21,2,TRUE)</f>
        <v>Dumbbells</v>
      </c>
      <c r="J495" s="3" t="str">
        <f>VLOOKUP($C495,Products!$A$1:$E$21,3,TRUE)</f>
        <v>Fitness</v>
      </c>
      <c r="K495" s="4">
        <f>VLOOKUP($C495,Products!$A$1:$E$21,4,TRUE)</f>
        <v>120</v>
      </c>
      <c r="L495" s="4">
        <f>VLOOKUP($C495,Products!$A$1:$E$21,5,TRUE)</f>
        <v>200</v>
      </c>
      <c r="M495" s="4">
        <f t="shared" si="56"/>
        <v>720</v>
      </c>
      <c r="N495" s="4">
        <f t="shared" si="57"/>
        <v>1200</v>
      </c>
      <c r="O495" s="4">
        <f t="shared" si="58"/>
        <v>480</v>
      </c>
      <c r="P495" s="5">
        <f t="shared" si="59"/>
        <v>0.4</v>
      </c>
      <c r="Q495" s="3" t="str">
        <f t="shared" si="64"/>
        <v>Low_order</v>
      </c>
      <c r="R495" s="3" t="str">
        <f t="shared" si="61"/>
        <v>Senior</v>
      </c>
      <c r="S495" s="11" t="str">
        <f t="shared" si="65"/>
        <v>Medium_profit</v>
      </c>
      <c r="T495" s="13" t="str">
        <f t="shared" si="63"/>
        <v>Apr</v>
      </c>
    </row>
    <row r="496" spans="1:20" x14ac:dyDescent="0.3">
      <c r="A496" s="9">
        <v>45466</v>
      </c>
      <c r="B496" s="3">
        <v>3495</v>
      </c>
      <c r="C496" s="3">
        <v>1007</v>
      </c>
      <c r="D496" s="3">
        <v>2011</v>
      </c>
      <c r="E496" s="3">
        <v>7</v>
      </c>
      <c r="F496" s="3">
        <f>VLOOKUP(Sheet1!$D496,Customers!$A$1:$D$51,2,TRUE)</f>
        <v>33</v>
      </c>
      <c r="G496" s="3" t="str">
        <f>VLOOKUP(Sheet1!$D496,Customers!$A$1:$D$51,3,TRUE)</f>
        <v>Female</v>
      </c>
      <c r="H496" s="3" t="str">
        <f>VLOOKUP(Sheet1!$D496,Customers!$A$1:$D$51,4,TRUE)</f>
        <v>Chandigarh</v>
      </c>
      <c r="I496" s="3" t="str">
        <f>VLOOKUP($C496,Products!$A$1:$E$21,2,TRUE)</f>
        <v>Charger</v>
      </c>
      <c r="J496" s="3" t="str">
        <f>VLOOKUP($C496,Products!$A$1:$E$21,3,TRUE)</f>
        <v>Accessories</v>
      </c>
      <c r="K496" s="4">
        <f>VLOOKUP($C496,Products!$A$1:$E$21,4,TRUE)</f>
        <v>160</v>
      </c>
      <c r="L496" s="4">
        <f>VLOOKUP($C496,Products!$A$1:$E$21,5,TRUE)</f>
        <v>230</v>
      </c>
      <c r="M496" s="4">
        <f t="shared" si="56"/>
        <v>1120</v>
      </c>
      <c r="N496" s="4">
        <f t="shared" si="57"/>
        <v>1610</v>
      </c>
      <c r="O496" s="4">
        <f t="shared" si="58"/>
        <v>490</v>
      </c>
      <c r="P496" s="5">
        <f t="shared" si="59"/>
        <v>0.30434782608695654</v>
      </c>
      <c r="Q496" s="3" t="str">
        <f t="shared" si="64"/>
        <v>Medium_order</v>
      </c>
      <c r="R496" s="3" t="str">
        <f t="shared" si="61"/>
        <v>Middle_age</v>
      </c>
      <c r="S496" s="11" t="str">
        <f t="shared" si="65"/>
        <v>Low_profit</v>
      </c>
      <c r="T496" s="13" t="str">
        <f t="shared" si="63"/>
        <v>Jun</v>
      </c>
    </row>
    <row r="497" spans="1:20" x14ac:dyDescent="0.3">
      <c r="A497" s="9">
        <v>45558</v>
      </c>
      <c r="B497" s="3">
        <v>3496</v>
      </c>
      <c r="C497" s="3">
        <v>1016</v>
      </c>
      <c r="D497" s="3">
        <v>2040</v>
      </c>
      <c r="E497" s="3">
        <v>8</v>
      </c>
      <c r="F497" s="3">
        <f>VLOOKUP(Sheet1!$D497,Customers!$A$1:$D$51,2,TRUE)</f>
        <v>40</v>
      </c>
      <c r="G497" s="3" t="str">
        <f>VLOOKUP(Sheet1!$D497,Customers!$A$1:$D$51,3,TRUE)</f>
        <v>Male</v>
      </c>
      <c r="H497" s="3" t="str">
        <f>VLOOKUP(Sheet1!$D497,Customers!$A$1:$D$51,4,TRUE)</f>
        <v>Hyderabad</v>
      </c>
      <c r="I497" s="3" t="str">
        <f>VLOOKUP($C497,Products!$A$1:$E$21,2,TRUE)</f>
        <v>Yoga Mat</v>
      </c>
      <c r="J497" s="3" t="str">
        <f>VLOOKUP($C497,Products!$A$1:$E$21,3,TRUE)</f>
        <v>Fitness</v>
      </c>
      <c r="K497" s="4">
        <f>VLOOKUP($C497,Products!$A$1:$E$21,4,TRUE)</f>
        <v>330</v>
      </c>
      <c r="L497" s="4">
        <f>VLOOKUP($C497,Products!$A$1:$E$21,5,TRUE)</f>
        <v>490</v>
      </c>
      <c r="M497" s="4">
        <f t="shared" si="56"/>
        <v>2640</v>
      </c>
      <c r="N497" s="4">
        <f t="shared" si="57"/>
        <v>3920</v>
      </c>
      <c r="O497" s="4">
        <f t="shared" si="58"/>
        <v>1280</v>
      </c>
      <c r="P497" s="5">
        <f t="shared" si="59"/>
        <v>0.32653061224489793</v>
      </c>
      <c r="Q497" s="3" t="str">
        <f t="shared" si="64"/>
        <v>High_order</v>
      </c>
      <c r="R497" s="3" t="str">
        <f t="shared" si="61"/>
        <v>Middle_age</v>
      </c>
      <c r="S497" s="11" t="str">
        <f t="shared" si="65"/>
        <v>Medium_profit</v>
      </c>
      <c r="T497" s="13" t="str">
        <f t="shared" si="63"/>
        <v>Sep</v>
      </c>
    </row>
    <row r="498" spans="1:20" x14ac:dyDescent="0.3">
      <c r="A498" s="9">
        <v>45450</v>
      </c>
      <c r="B498" s="3">
        <v>3497</v>
      </c>
      <c r="C498" s="3">
        <v>1007</v>
      </c>
      <c r="D498" s="3">
        <v>2003</v>
      </c>
      <c r="E498" s="3">
        <v>5</v>
      </c>
      <c r="F498" s="3">
        <f>VLOOKUP(Sheet1!$D498,Customers!$A$1:$D$51,2,TRUE)</f>
        <v>23</v>
      </c>
      <c r="G498" s="3" t="str">
        <f>VLOOKUP(Sheet1!$D498,Customers!$A$1:$D$51,3,TRUE)</f>
        <v>Female</v>
      </c>
      <c r="H498" s="3" t="str">
        <f>VLOOKUP(Sheet1!$D498,Customers!$A$1:$D$51,4,TRUE)</f>
        <v>Bangalore</v>
      </c>
      <c r="I498" s="3" t="str">
        <f>VLOOKUP($C498,Products!$A$1:$E$21,2,TRUE)</f>
        <v>Charger</v>
      </c>
      <c r="J498" s="3" t="str">
        <f>VLOOKUP($C498,Products!$A$1:$E$21,3,TRUE)</f>
        <v>Accessories</v>
      </c>
      <c r="K498" s="4">
        <f>VLOOKUP($C498,Products!$A$1:$E$21,4,TRUE)</f>
        <v>160</v>
      </c>
      <c r="L498" s="4">
        <f>VLOOKUP($C498,Products!$A$1:$E$21,5,TRUE)</f>
        <v>230</v>
      </c>
      <c r="M498" s="4">
        <f t="shared" si="56"/>
        <v>800</v>
      </c>
      <c r="N498" s="4">
        <f t="shared" si="57"/>
        <v>1150</v>
      </c>
      <c r="O498" s="4">
        <f t="shared" si="58"/>
        <v>350</v>
      </c>
      <c r="P498" s="5">
        <f t="shared" si="59"/>
        <v>0.30434782608695654</v>
      </c>
      <c r="Q498" s="3" t="str">
        <f t="shared" si="64"/>
        <v>Low_order</v>
      </c>
      <c r="R498" s="3" t="str">
        <f t="shared" si="61"/>
        <v>Young</v>
      </c>
      <c r="S498" s="11" t="str">
        <f t="shared" si="65"/>
        <v>Low_profit</v>
      </c>
      <c r="T498" s="13" t="str">
        <f t="shared" si="63"/>
        <v>Jun</v>
      </c>
    </row>
    <row r="499" spans="1:20" x14ac:dyDescent="0.3">
      <c r="A499" s="9">
        <v>45520</v>
      </c>
      <c r="B499" s="3">
        <v>3498</v>
      </c>
      <c r="C499" s="3">
        <v>1010</v>
      </c>
      <c r="D499" s="3">
        <v>2049</v>
      </c>
      <c r="E499" s="3">
        <v>4</v>
      </c>
      <c r="F499" s="3">
        <f>VLOOKUP(Sheet1!$D499,Customers!$A$1:$D$51,2,TRUE)</f>
        <v>44</v>
      </c>
      <c r="G499" s="3" t="str">
        <f>VLOOKUP(Sheet1!$D499,Customers!$A$1:$D$51,3,TRUE)</f>
        <v>Female</v>
      </c>
      <c r="H499" s="3" t="str">
        <f>VLOOKUP(Sheet1!$D499,Customers!$A$1:$D$51,4,TRUE)</f>
        <v>Delhi</v>
      </c>
      <c r="I499" s="3" t="str">
        <f>VLOOKUP($C499,Products!$A$1:$E$21,2,TRUE)</f>
        <v>Laptop Sleeve</v>
      </c>
      <c r="J499" s="3" t="str">
        <f>VLOOKUP($C499,Products!$A$1:$E$21,3,TRUE)</f>
        <v>Accessories</v>
      </c>
      <c r="K499" s="4">
        <f>VLOOKUP($C499,Products!$A$1:$E$21,4,TRUE)</f>
        <v>290</v>
      </c>
      <c r="L499" s="4">
        <f>VLOOKUP($C499,Products!$A$1:$E$21,5,TRUE)</f>
        <v>470</v>
      </c>
      <c r="M499" s="4">
        <f t="shared" si="56"/>
        <v>1160</v>
      </c>
      <c r="N499" s="4">
        <f t="shared" si="57"/>
        <v>1880</v>
      </c>
      <c r="O499" s="4">
        <f t="shared" si="58"/>
        <v>720</v>
      </c>
      <c r="P499" s="5">
        <f t="shared" si="59"/>
        <v>0.38297872340425532</v>
      </c>
      <c r="Q499" s="3" t="str">
        <f t="shared" si="64"/>
        <v>Medium_order</v>
      </c>
      <c r="R499" s="3" t="str">
        <f t="shared" si="61"/>
        <v>Senior</v>
      </c>
      <c r="S499" s="11" t="str">
        <f t="shared" si="65"/>
        <v>Medium_profit</v>
      </c>
      <c r="T499" s="13" t="str">
        <f t="shared" si="63"/>
        <v>Aug</v>
      </c>
    </row>
    <row r="500" spans="1:20" x14ac:dyDescent="0.3">
      <c r="A500" s="9">
        <v>45522</v>
      </c>
      <c r="B500" s="3">
        <v>3499</v>
      </c>
      <c r="C500" s="3">
        <v>1020</v>
      </c>
      <c r="D500" s="3">
        <v>2043</v>
      </c>
      <c r="E500" s="3">
        <v>8</v>
      </c>
      <c r="F500" s="3">
        <f>VLOOKUP(Sheet1!$D500,Customers!$A$1:$D$51,2,TRUE)</f>
        <v>44</v>
      </c>
      <c r="G500" s="3" t="str">
        <f>VLOOKUP(Sheet1!$D500,Customers!$A$1:$D$51,3,TRUE)</f>
        <v>Male</v>
      </c>
      <c r="H500" s="3" t="str">
        <f>VLOOKUP(Sheet1!$D500,Customers!$A$1:$D$51,4,TRUE)</f>
        <v>Delhi</v>
      </c>
      <c r="I500" s="3" t="str">
        <f>VLOOKUP($C500,Products!$A$1:$E$21,2,TRUE)</f>
        <v>Water Bottle</v>
      </c>
      <c r="J500" s="3" t="str">
        <f>VLOOKUP($C500,Products!$A$1:$E$21,3,TRUE)</f>
        <v>Fitness</v>
      </c>
      <c r="K500" s="4">
        <f>VLOOKUP($C500,Products!$A$1:$E$21,4,TRUE)</f>
        <v>400</v>
      </c>
      <c r="L500" s="4">
        <f>VLOOKUP($C500,Products!$A$1:$E$21,5,TRUE)</f>
        <v>560</v>
      </c>
      <c r="M500" s="4">
        <f t="shared" si="56"/>
        <v>3200</v>
      </c>
      <c r="N500" s="4">
        <f t="shared" si="57"/>
        <v>4480</v>
      </c>
      <c r="O500" s="4">
        <f t="shared" si="58"/>
        <v>1280</v>
      </c>
      <c r="P500" s="5">
        <f t="shared" si="59"/>
        <v>0.2857142857142857</v>
      </c>
      <c r="Q500" s="3" t="str">
        <f t="shared" si="64"/>
        <v>High_order</v>
      </c>
      <c r="R500" s="3" t="str">
        <f t="shared" si="61"/>
        <v>Senior</v>
      </c>
      <c r="S500" s="11" t="str">
        <f t="shared" si="65"/>
        <v>Low_profit</v>
      </c>
      <c r="T500" s="13" t="str">
        <f t="shared" si="63"/>
        <v>Aug</v>
      </c>
    </row>
    <row r="501" spans="1:20" x14ac:dyDescent="0.3">
      <c r="A501" s="9">
        <v>45630</v>
      </c>
      <c r="B501" s="3">
        <v>3500</v>
      </c>
      <c r="C501" s="3">
        <v>1004</v>
      </c>
      <c r="D501" s="3">
        <v>2034</v>
      </c>
      <c r="E501" s="3">
        <v>4</v>
      </c>
      <c r="F501" s="3">
        <f>VLOOKUP(Sheet1!$D501,Customers!$A$1:$D$51,2,TRUE)</f>
        <v>48</v>
      </c>
      <c r="G501" s="3" t="str">
        <f>VLOOKUP(Sheet1!$D501,Customers!$A$1:$D$51,3,TRUE)</f>
        <v>Female</v>
      </c>
      <c r="H501" s="3" t="str">
        <f>VLOOKUP(Sheet1!$D501,Customers!$A$1:$D$51,4,TRUE)</f>
        <v>Pune</v>
      </c>
      <c r="I501" s="3" t="str">
        <f>VLOOKUP($C501,Products!$A$1:$E$21,2,TRUE)</f>
        <v>Speaker</v>
      </c>
      <c r="J501" s="3" t="str">
        <f>VLOOKUP($C501,Products!$A$1:$E$21,3,TRUE)</f>
        <v>Electronics</v>
      </c>
      <c r="K501" s="4">
        <f>VLOOKUP($C501,Products!$A$1:$E$21,4,TRUE)</f>
        <v>230</v>
      </c>
      <c r="L501" s="4">
        <f>VLOOKUP($C501,Products!$A$1:$E$21,5,TRUE)</f>
        <v>440</v>
      </c>
      <c r="M501" s="4">
        <f t="shared" si="56"/>
        <v>920</v>
      </c>
      <c r="N501" s="4">
        <f t="shared" si="57"/>
        <v>1760</v>
      </c>
      <c r="O501" s="4">
        <f t="shared" si="58"/>
        <v>840</v>
      </c>
      <c r="P501" s="5">
        <f t="shared" si="59"/>
        <v>0.47727272727272729</v>
      </c>
      <c r="Q501" s="3" t="str">
        <f t="shared" si="64"/>
        <v>Medium_order</v>
      </c>
      <c r="R501" s="3" t="str">
        <f t="shared" si="61"/>
        <v>Senior</v>
      </c>
      <c r="S501" s="11" t="str">
        <f t="shared" si="65"/>
        <v>High_profit</v>
      </c>
      <c r="T501" s="13" t="str">
        <f t="shared" si="63"/>
        <v>Dec</v>
      </c>
    </row>
    <row r="502" spans="1:20" x14ac:dyDescent="0.3">
      <c r="P502" s="7"/>
    </row>
    <row r="503" spans="1:20" x14ac:dyDescent="0.3">
      <c r="P503" s="7"/>
    </row>
    <row r="504" spans="1:20" x14ac:dyDescent="0.3">
      <c r="P504" s="7"/>
    </row>
    <row r="505" spans="1:20" x14ac:dyDescent="0.3">
      <c r="P505" s="7"/>
    </row>
    <row r="506" spans="1:20" x14ac:dyDescent="0.3">
      <c r="B506">
        <f>COUNT(B1:B501)</f>
        <v>500</v>
      </c>
      <c r="N506" s="2">
        <f>SUM(N1:N501)</f>
        <v>1025990</v>
      </c>
      <c r="O506" s="2">
        <f>SUM(O1:O501)</f>
        <v>402160</v>
      </c>
      <c r="P506" s="7">
        <f>$O506/$N506</f>
        <v>0.39197263131219601</v>
      </c>
    </row>
    <row r="508" spans="1:20" x14ac:dyDescent="0.3">
      <c r="F508">
        <f>PERCENTILE($F$1:$F$501,0.33)</f>
        <v>32</v>
      </c>
      <c r="N508" s="2">
        <f>PERCENTILE($N$1:$N$501,0.33)</f>
        <v>1280.1000000000004</v>
      </c>
      <c r="P508" s="1">
        <f>PERCENTILE($P$1:$P$501,0.33)</f>
        <v>0.32653061224489793</v>
      </c>
    </row>
    <row r="509" spans="1:20" x14ac:dyDescent="0.3">
      <c r="F509">
        <f>PERCENTILE($F$1:$F$501,0.66)</f>
        <v>41</v>
      </c>
      <c r="N509" s="2">
        <f>PERCENTILE($N$1:$N$501,0.66)</f>
        <v>2430</v>
      </c>
      <c r="P509" s="1">
        <f>PERCENTILE($P$1:$P$501,0.66)</f>
        <v>0.42499999999999999</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B1" sqref="B1"/>
    </sheetView>
  </sheetViews>
  <sheetFormatPr defaultRowHeight="14.4" x14ac:dyDescent="0.3"/>
  <cols>
    <col min="1" max="1" width="22.44140625" customWidth="1"/>
    <col min="2" max="2" width="12.88671875" customWidth="1"/>
  </cols>
  <sheetData>
    <row r="1" spans="1:2" x14ac:dyDescent="0.3">
      <c r="A1" s="3" t="s">
        <v>50</v>
      </c>
      <c r="B1" s="4">
        <v>1025990</v>
      </c>
    </row>
    <row r="2" spans="1:2" x14ac:dyDescent="0.3">
      <c r="A2" s="3" t="s">
        <v>51</v>
      </c>
      <c r="B2" s="4">
        <v>402160</v>
      </c>
    </row>
    <row r="3" spans="1:2" x14ac:dyDescent="0.3">
      <c r="A3" s="3" t="s">
        <v>46</v>
      </c>
      <c r="B3" s="5">
        <v>0.39197263131219601</v>
      </c>
    </row>
    <row r="4" spans="1:2" x14ac:dyDescent="0.3">
      <c r="A4" s="3" t="s">
        <v>52</v>
      </c>
      <c r="B4" s="3">
        <v>500</v>
      </c>
    </row>
    <row r="5" spans="1:2" x14ac:dyDescent="0.3">
      <c r="A5" s="3" t="s">
        <v>53</v>
      </c>
      <c r="B5" s="6">
        <f>B1/B4</f>
        <v>2051.98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C49"/>
  <sheetViews>
    <sheetView topLeftCell="A43" workbookViewId="0">
      <selection activeCell="M4" sqref="M4"/>
    </sheetView>
  </sheetViews>
  <sheetFormatPr defaultRowHeight="14.4" x14ac:dyDescent="0.3"/>
  <cols>
    <col min="1" max="1" width="12.5546875" bestFit="1" customWidth="1"/>
    <col min="2" max="2" width="12.109375" bestFit="1" customWidth="1"/>
    <col min="3" max="3" width="12.5546875" bestFit="1" customWidth="1"/>
  </cols>
  <sheetData>
    <row r="2" spans="1:3" x14ac:dyDescent="0.3">
      <c r="B2" s="14" t="s">
        <v>72</v>
      </c>
    </row>
    <row r="3" spans="1:3" x14ac:dyDescent="0.3">
      <c r="A3" s="14" t="s">
        <v>57</v>
      </c>
      <c r="B3" t="s">
        <v>71</v>
      </c>
      <c r="C3" t="s">
        <v>73</v>
      </c>
    </row>
    <row r="4" spans="1:3" x14ac:dyDescent="0.3">
      <c r="A4" s="15" t="s">
        <v>58</v>
      </c>
      <c r="B4">
        <v>85180</v>
      </c>
      <c r="C4">
        <v>34330</v>
      </c>
    </row>
    <row r="5" spans="1:3" x14ac:dyDescent="0.3">
      <c r="A5" s="15" t="s">
        <v>59</v>
      </c>
      <c r="B5">
        <v>96100</v>
      </c>
      <c r="C5">
        <v>35600</v>
      </c>
    </row>
    <row r="6" spans="1:3" x14ac:dyDescent="0.3">
      <c r="A6" s="15" t="s">
        <v>60</v>
      </c>
      <c r="B6">
        <v>84010</v>
      </c>
      <c r="C6">
        <v>33130</v>
      </c>
    </row>
    <row r="7" spans="1:3" x14ac:dyDescent="0.3">
      <c r="A7" s="15" t="s">
        <v>61</v>
      </c>
      <c r="B7">
        <v>93350</v>
      </c>
      <c r="C7">
        <v>38800</v>
      </c>
    </row>
    <row r="8" spans="1:3" x14ac:dyDescent="0.3">
      <c r="A8" s="15" t="s">
        <v>62</v>
      </c>
      <c r="B8">
        <v>92680</v>
      </c>
      <c r="C8">
        <v>35500</v>
      </c>
    </row>
    <row r="9" spans="1:3" x14ac:dyDescent="0.3">
      <c r="A9" s="15" t="s">
        <v>63</v>
      </c>
      <c r="B9">
        <v>91630</v>
      </c>
      <c r="C9">
        <v>37430</v>
      </c>
    </row>
    <row r="10" spans="1:3" x14ac:dyDescent="0.3">
      <c r="A10" s="15" t="s">
        <v>64</v>
      </c>
      <c r="B10">
        <v>76380</v>
      </c>
      <c r="C10">
        <v>31470</v>
      </c>
    </row>
    <row r="11" spans="1:3" x14ac:dyDescent="0.3">
      <c r="A11" s="15" t="s">
        <v>65</v>
      </c>
      <c r="B11">
        <v>94200</v>
      </c>
      <c r="C11">
        <v>38770</v>
      </c>
    </row>
    <row r="12" spans="1:3" x14ac:dyDescent="0.3">
      <c r="A12" s="15" t="s">
        <v>66</v>
      </c>
      <c r="B12">
        <v>75550</v>
      </c>
      <c r="C12">
        <v>27380</v>
      </c>
    </row>
    <row r="13" spans="1:3" x14ac:dyDescent="0.3">
      <c r="A13" s="15" t="s">
        <v>67</v>
      </c>
      <c r="B13">
        <v>70000</v>
      </c>
      <c r="C13">
        <v>25750</v>
      </c>
    </row>
    <row r="14" spans="1:3" x14ac:dyDescent="0.3">
      <c r="A14" s="15" t="s">
        <v>68</v>
      </c>
      <c r="B14">
        <v>77010</v>
      </c>
      <c r="C14">
        <v>29470</v>
      </c>
    </row>
    <row r="15" spans="1:3" x14ac:dyDescent="0.3">
      <c r="A15" s="15" t="s">
        <v>69</v>
      </c>
      <c r="B15">
        <v>89900</v>
      </c>
      <c r="C15">
        <v>34530</v>
      </c>
    </row>
    <row r="16" spans="1:3" x14ac:dyDescent="0.3">
      <c r="A16" s="15" t="s">
        <v>70</v>
      </c>
      <c r="B16">
        <v>1025990</v>
      </c>
      <c r="C16">
        <v>402160</v>
      </c>
    </row>
    <row r="22" spans="1:2" x14ac:dyDescent="0.3">
      <c r="A22" s="14" t="s">
        <v>57</v>
      </c>
      <c r="B22" t="s">
        <v>73</v>
      </c>
    </row>
    <row r="23" spans="1:2" x14ac:dyDescent="0.3">
      <c r="A23" s="15" t="s">
        <v>12</v>
      </c>
      <c r="B23">
        <v>78430</v>
      </c>
    </row>
    <row r="24" spans="1:2" x14ac:dyDescent="0.3">
      <c r="A24" s="15" t="s">
        <v>6</v>
      </c>
      <c r="B24">
        <v>130550</v>
      </c>
    </row>
    <row r="25" spans="1:2" x14ac:dyDescent="0.3">
      <c r="A25" s="15" t="s">
        <v>24</v>
      </c>
      <c r="B25">
        <v>103890</v>
      </c>
    </row>
    <row r="26" spans="1:2" x14ac:dyDescent="0.3">
      <c r="A26" s="15" t="s">
        <v>18</v>
      </c>
      <c r="B26">
        <v>89290</v>
      </c>
    </row>
    <row r="27" spans="1:2" x14ac:dyDescent="0.3">
      <c r="A27" s="15" t="s">
        <v>70</v>
      </c>
      <c r="B27">
        <v>402160</v>
      </c>
    </row>
    <row r="34" spans="1:2" x14ac:dyDescent="0.3">
      <c r="A34" s="14" t="s">
        <v>57</v>
      </c>
      <c r="B34" t="s">
        <v>73</v>
      </c>
    </row>
    <row r="35" spans="1:2" x14ac:dyDescent="0.3">
      <c r="A35" s="15" t="s">
        <v>36</v>
      </c>
      <c r="B35">
        <v>53360</v>
      </c>
    </row>
    <row r="36" spans="1:2" x14ac:dyDescent="0.3">
      <c r="A36" s="15" t="s">
        <v>40</v>
      </c>
      <c r="B36">
        <v>62200</v>
      </c>
    </row>
    <row r="37" spans="1:2" x14ac:dyDescent="0.3">
      <c r="A37" s="15" t="s">
        <v>34</v>
      </c>
      <c r="B37">
        <v>128150</v>
      </c>
    </row>
    <row r="38" spans="1:2" x14ac:dyDescent="0.3">
      <c r="A38" s="15" t="s">
        <v>38</v>
      </c>
      <c r="B38">
        <v>65420</v>
      </c>
    </row>
    <row r="39" spans="1:2" x14ac:dyDescent="0.3">
      <c r="A39" s="15" t="s">
        <v>39</v>
      </c>
      <c r="B39">
        <v>40640</v>
      </c>
    </row>
    <row r="40" spans="1:2" x14ac:dyDescent="0.3">
      <c r="A40" s="15" t="s">
        <v>37</v>
      </c>
      <c r="B40">
        <v>52390</v>
      </c>
    </row>
    <row r="41" spans="1:2" x14ac:dyDescent="0.3">
      <c r="A41" s="15" t="s">
        <v>70</v>
      </c>
      <c r="B41">
        <v>402160</v>
      </c>
    </row>
    <row r="45" spans="1:2" x14ac:dyDescent="0.3">
      <c r="A45" s="14" t="s">
        <v>57</v>
      </c>
      <c r="B45" t="s">
        <v>71</v>
      </c>
    </row>
    <row r="46" spans="1:2" x14ac:dyDescent="0.3">
      <c r="A46" s="15" t="s">
        <v>74</v>
      </c>
      <c r="B46">
        <v>331020</v>
      </c>
    </row>
    <row r="47" spans="1:2" x14ac:dyDescent="0.3">
      <c r="A47" s="15" t="s">
        <v>75</v>
      </c>
      <c r="B47">
        <v>366970</v>
      </c>
    </row>
    <row r="48" spans="1:2" x14ac:dyDescent="0.3">
      <c r="A48" s="15" t="s">
        <v>76</v>
      </c>
      <c r="B48">
        <v>328000</v>
      </c>
    </row>
    <row r="49" spans="1:2" x14ac:dyDescent="0.3">
      <c r="A49" s="15" t="s">
        <v>70</v>
      </c>
      <c r="B49">
        <v>1025990</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4"/>
  <sheetViews>
    <sheetView tabSelected="1" topLeftCell="A2" zoomScale="90" zoomScaleNormal="90" workbookViewId="0">
      <selection activeCell="M17" sqref="M17"/>
    </sheetView>
  </sheetViews>
  <sheetFormatPr defaultRowHeight="14.4" x14ac:dyDescent="0.3"/>
  <cols>
    <col min="1" max="1" width="17.88671875" customWidth="1"/>
    <col min="2" max="2" width="5.88671875" customWidth="1"/>
    <col min="3" max="3" width="17.88671875" customWidth="1"/>
    <col min="4" max="4" width="6.6640625" customWidth="1"/>
    <col min="5" max="5" width="16.44140625" customWidth="1"/>
    <col min="6" max="6" width="6.44140625" customWidth="1"/>
    <col min="7" max="7" width="14" customWidth="1"/>
    <col min="8" max="8" width="5.44140625" customWidth="1"/>
    <col min="9" max="9" width="20.44140625" customWidth="1"/>
    <col min="10" max="10" width="6.77734375" customWidth="1"/>
    <col min="11" max="11" width="16.21875" customWidth="1"/>
  </cols>
  <sheetData>
    <row r="1" spans="1:21" x14ac:dyDescent="0.3">
      <c r="A1" s="32" t="s">
        <v>56</v>
      </c>
      <c r="B1" s="33"/>
      <c r="C1" s="33"/>
      <c r="D1" s="33"/>
      <c r="E1" s="33"/>
      <c r="F1" s="33"/>
      <c r="G1" s="33"/>
      <c r="H1" s="33"/>
      <c r="I1" s="33"/>
      <c r="J1" s="33"/>
      <c r="K1" s="33"/>
      <c r="L1" s="33"/>
      <c r="M1" s="33"/>
      <c r="N1" s="33"/>
      <c r="O1" s="33"/>
      <c r="P1" s="33"/>
      <c r="Q1" s="33"/>
      <c r="R1" s="33"/>
      <c r="S1" s="33"/>
      <c r="T1" s="33"/>
      <c r="U1" s="34"/>
    </row>
    <row r="2" spans="1:21" ht="15" thickBot="1" x14ac:dyDescent="0.35">
      <c r="A2" s="35"/>
      <c r="B2" s="36"/>
      <c r="C2" s="36"/>
      <c r="D2" s="36"/>
      <c r="E2" s="36"/>
      <c r="F2" s="36"/>
      <c r="G2" s="36"/>
      <c r="H2" s="36"/>
      <c r="I2" s="17"/>
      <c r="J2" s="36"/>
      <c r="K2" s="36"/>
      <c r="L2" s="36"/>
      <c r="M2" s="36"/>
      <c r="N2" s="36"/>
      <c r="O2" s="36"/>
      <c r="P2" s="36"/>
      <c r="Q2" s="36"/>
      <c r="R2" s="36"/>
      <c r="S2" s="36"/>
      <c r="T2" s="36"/>
      <c r="U2" s="37"/>
    </row>
    <row r="3" spans="1:21" x14ac:dyDescent="0.3">
      <c r="A3" s="30" t="s">
        <v>77</v>
      </c>
      <c r="B3" s="28"/>
      <c r="C3" s="30" t="s">
        <v>78</v>
      </c>
      <c r="D3" s="28"/>
      <c r="E3" s="30" t="s">
        <v>79</v>
      </c>
      <c r="F3" s="28"/>
      <c r="G3" s="30" t="s">
        <v>80</v>
      </c>
      <c r="H3" s="28"/>
      <c r="I3" s="16" t="s">
        <v>81</v>
      </c>
      <c r="J3" s="28"/>
      <c r="K3" s="31" t="s">
        <v>82</v>
      </c>
      <c r="L3" s="28"/>
      <c r="M3" s="28"/>
      <c r="N3" s="28"/>
      <c r="O3" s="28"/>
      <c r="P3" s="28"/>
      <c r="Q3" s="28"/>
      <c r="R3" s="28"/>
      <c r="S3" s="28"/>
      <c r="T3" s="28"/>
      <c r="U3" s="28"/>
    </row>
    <row r="4" spans="1:21" ht="14.4" customHeight="1" x14ac:dyDescent="0.3">
      <c r="A4" s="18">
        <v>1025990</v>
      </c>
      <c r="B4" s="28"/>
      <c r="C4" s="20">
        <v>402160</v>
      </c>
      <c r="D4" s="28"/>
      <c r="E4" s="23">
        <v>0.39</v>
      </c>
      <c r="F4" s="28"/>
      <c r="G4" s="25">
        <v>500</v>
      </c>
      <c r="H4" s="28"/>
      <c r="I4" s="38">
        <v>2051.98</v>
      </c>
      <c r="J4" s="28"/>
      <c r="K4" s="27" t="s">
        <v>83</v>
      </c>
      <c r="L4" s="28"/>
      <c r="M4" s="28"/>
      <c r="N4" s="28"/>
      <c r="O4" s="28"/>
      <c r="P4" s="28"/>
      <c r="Q4" s="28"/>
      <c r="R4" s="28"/>
      <c r="S4" s="28"/>
      <c r="T4" s="28"/>
      <c r="U4" s="28"/>
    </row>
    <row r="5" spans="1:21" ht="14.4" customHeight="1" x14ac:dyDescent="0.3">
      <c r="A5" s="18"/>
      <c r="B5" s="28"/>
      <c r="C5" s="21"/>
      <c r="D5" s="28"/>
      <c r="E5" s="23"/>
      <c r="F5" s="28"/>
      <c r="G5" s="25"/>
      <c r="H5" s="28"/>
      <c r="I5" s="38"/>
      <c r="J5" s="28"/>
      <c r="K5" s="27"/>
      <c r="L5" s="28"/>
      <c r="M5" s="28"/>
      <c r="N5" s="28"/>
      <c r="O5" s="28"/>
      <c r="P5" s="28"/>
      <c r="Q5" s="28"/>
      <c r="R5" s="28"/>
      <c r="S5" s="28"/>
      <c r="T5" s="28"/>
      <c r="U5" s="28"/>
    </row>
    <row r="6" spans="1:21" ht="14.4" customHeight="1" thickBot="1" x14ac:dyDescent="0.35">
      <c r="A6" s="19"/>
      <c r="B6" s="28"/>
      <c r="C6" s="22"/>
      <c r="D6" s="28"/>
      <c r="E6" s="24"/>
      <c r="F6" s="28"/>
      <c r="G6" s="26"/>
      <c r="H6" s="28"/>
      <c r="I6" s="38"/>
      <c r="J6" s="28"/>
      <c r="K6" s="27"/>
      <c r="L6" s="28"/>
      <c r="M6" s="28"/>
      <c r="N6" s="28"/>
      <c r="O6" s="28"/>
      <c r="P6" s="28"/>
      <c r="Q6" s="28"/>
      <c r="R6" s="28"/>
      <c r="S6" s="28"/>
      <c r="T6" s="28"/>
      <c r="U6" s="28"/>
    </row>
    <row r="7" spans="1:21" x14ac:dyDescent="0.3">
      <c r="A7" s="28"/>
      <c r="B7" s="28"/>
      <c r="C7" s="28"/>
      <c r="D7" s="28"/>
      <c r="E7" s="28"/>
      <c r="F7" s="28"/>
      <c r="G7" s="28"/>
      <c r="H7" s="28"/>
      <c r="I7" s="28"/>
      <c r="J7" s="28"/>
      <c r="K7" s="28"/>
      <c r="L7" s="29"/>
      <c r="M7" s="28"/>
      <c r="N7" s="28"/>
      <c r="O7" s="28"/>
      <c r="P7" s="28"/>
      <c r="Q7" s="28"/>
      <c r="R7" s="28"/>
      <c r="S7" s="28"/>
      <c r="T7" s="28"/>
      <c r="U7" s="28"/>
    </row>
    <row r="8" spans="1:21" x14ac:dyDescent="0.3">
      <c r="A8" s="28"/>
      <c r="B8" s="28"/>
      <c r="C8" s="28"/>
      <c r="D8" s="28"/>
      <c r="E8" s="28"/>
      <c r="F8" s="28"/>
      <c r="G8" s="28"/>
      <c r="H8" s="28"/>
      <c r="I8" s="28"/>
      <c r="J8" s="28"/>
      <c r="K8" s="28"/>
      <c r="L8" s="28"/>
      <c r="M8" s="28"/>
      <c r="N8" s="28"/>
      <c r="O8" s="28"/>
      <c r="P8" s="28"/>
      <c r="Q8" s="28"/>
      <c r="R8" s="28"/>
      <c r="S8" s="28"/>
      <c r="T8" s="28"/>
      <c r="U8" s="28"/>
    </row>
    <row r="9" spans="1:21" x14ac:dyDescent="0.3">
      <c r="A9" s="28"/>
      <c r="B9" s="28"/>
      <c r="C9" s="28"/>
      <c r="D9" s="28"/>
      <c r="E9" s="28"/>
      <c r="F9" s="28"/>
      <c r="G9" s="28"/>
      <c r="H9" s="28"/>
      <c r="I9" s="28"/>
      <c r="J9" s="28"/>
      <c r="K9" s="28"/>
      <c r="L9" s="28"/>
      <c r="M9" s="28"/>
      <c r="N9" s="28"/>
      <c r="O9" s="28"/>
      <c r="P9" s="28"/>
      <c r="Q9" s="28"/>
      <c r="R9" s="28"/>
      <c r="S9" s="28"/>
      <c r="T9" s="28"/>
      <c r="U9" s="28"/>
    </row>
    <row r="10" spans="1:21" x14ac:dyDescent="0.3">
      <c r="A10" s="28"/>
      <c r="B10" s="28"/>
      <c r="C10" s="28"/>
      <c r="D10" s="28"/>
      <c r="E10" s="28"/>
      <c r="F10" s="28"/>
      <c r="G10" s="28"/>
      <c r="H10" s="28"/>
      <c r="I10" s="28"/>
      <c r="J10" s="28"/>
      <c r="K10" s="28"/>
      <c r="L10" s="28"/>
      <c r="M10" s="28"/>
      <c r="N10" s="28"/>
      <c r="O10" s="28"/>
      <c r="P10" s="28"/>
      <c r="Q10" s="28"/>
      <c r="R10" s="28"/>
      <c r="S10" s="28"/>
      <c r="T10" s="28"/>
      <c r="U10" s="28"/>
    </row>
    <row r="11" spans="1:21" x14ac:dyDescent="0.3">
      <c r="A11" s="28"/>
      <c r="B11" s="28"/>
      <c r="C11" s="28"/>
      <c r="D11" s="28"/>
      <c r="E11" s="28"/>
      <c r="F11" s="28"/>
      <c r="G11" s="28"/>
      <c r="H11" s="28"/>
      <c r="I11" s="28"/>
      <c r="J11" s="28"/>
      <c r="K11" s="28"/>
      <c r="L11" s="28"/>
      <c r="M11" s="28"/>
      <c r="N11" s="28"/>
      <c r="O11" s="28"/>
      <c r="P11" s="28"/>
      <c r="Q11" s="28"/>
      <c r="R11" s="28"/>
      <c r="S11" s="28"/>
      <c r="T11" s="28"/>
      <c r="U11" s="28"/>
    </row>
    <row r="12" spans="1:21" x14ac:dyDescent="0.3">
      <c r="A12" s="28"/>
      <c r="B12" s="28"/>
      <c r="C12" s="28"/>
      <c r="D12" s="28"/>
      <c r="E12" s="28"/>
      <c r="F12" s="28"/>
      <c r="G12" s="28"/>
      <c r="H12" s="28"/>
      <c r="I12" s="28"/>
      <c r="J12" s="28"/>
      <c r="K12" s="28"/>
      <c r="L12" s="28"/>
      <c r="M12" s="28"/>
      <c r="N12" s="28"/>
      <c r="O12" s="28"/>
      <c r="P12" s="28"/>
      <c r="Q12" s="28"/>
      <c r="R12" s="28"/>
      <c r="S12" s="28"/>
      <c r="T12" s="28"/>
      <c r="U12" s="28"/>
    </row>
    <row r="13" spans="1:21" x14ac:dyDescent="0.3">
      <c r="A13" s="28"/>
      <c r="B13" s="28"/>
      <c r="C13" s="28"/>
      <c r="D13" s="28"/>
      <c r="E13" s="28"/>
      <c r="F13" s="28"/>
      <c r="G13" s="28"/>
      <c r="H13" s="28"/>
      <c r="I13" s="28"/>
      <c r="J13" s="28"/>
      <c r="K13" s="28"/>
      <c r="L13" s="28"/>
      <c r="M13" s="28"/>
      <c r="N13" s="28"/>
      <c r="O13" s="28"/>
      <c r="P13" s="28"/>
      <c r="Q13" s="28"/>
      <c r="R13" s="28"/>
      <c r="S13" s="28"/>
      <c r="T13" s="28"/>
      <c r="U13" s="28"/>
    </row>
    <row r="14" spans="1:21" x14ac:dyDescent="0.3">
      <c r="A14" s="28"/>
      <c r="B14" s="28"/>
      <c r="C14" s="28"/>
      <c r="D14" s="28"/>
      <c r="E14" s="28"/>
      <c r="F14" s="28"/>
      <c r="G14" s="28"/>
      <c r="H14" s="28"/>
      <c r="I14" s="28"/>
      <c r="J14" s="28"/>
      <c r="K14" s="28"/>
      <c r="L14" s="28"/>
      <c r="M14" s="28"/>
      <c r="N14" s="28"/>
      <c r="O14" s="28"/>
      <c r="P14" s="28"/>
      <c r="Q14" s="28"/>
      <c r="R14" s="28"/>
      <c r="S14" s="28"/>
      <c r="T14" s="28"/>
      <c r="U14" s="28"/>
    </row>
    <row r="15" spans="1:21" x14ac:dyDescent="0.3">
      <c r="A15" s="28"/>
      <c r="B15" s="28"/>
      <c r="C15" s="28"/>
      <c r="D15" s="28"/>
      <c r="E15" s="28"/>
      <c r="F15" s="28"/>
      <c r="G15" s="28"/>
      <c r="H15" s="28"/>
      <c r="I15" s="28"/>
      <c r="J15" s="28"/>
      <c r="K15" s="28"/>
      <c r="L15" s="28"/>
      <c r="M15" s="28"/>
      <c r="N15" s="28"/>
      <c r="O15" s="28"/>
      <c r="P15" s="28"/>
      <c r="Q15" s="28"/>
      <c r="R15" s="28"/>
      <c r="S15" s="28"/>
      <c r="T15" s="28"/>
      <c r="U15" s="28"/>
    </row>
    <row r="16" spans="1:21" x14ac:dyDescent="0.3">
      <c r="A16" s="28"/>
      <c r="B16" s="28"/>
      <c r="C16" s="28"/>
      <c r="D16" s="28"/>
      <c r="E16" s="28"/>
      <c r="F16" s="28"/>
      <c r="G16" s="28"/>
      <c r="H16" s="28"/>
      <c r="I16" s="28"/>
      <c r="J16" s="28"/>
      <c r="K16" s="28"/>
      <c r="L16" s="28"/>
      <c r="M16" s="28"/>
      <c r="N16" s="28"/>
      <c r="O16" s="28"/>
      <c r="P16" s="28"/>
      <c r="Q16" s="28"/>
      <c r="R16" s="28"/>
      <c r="S16" s="28"/>
      <c r="T16" s="28"/>
      <c r="U16" s="28"/>
    </row>
    <row r="17" spans="1:21" x14ac:dyDescent="0.3">
      <c r="A17" s="28"/>
      <c r="B17" s="28"/>
      <c r="C17" s="28"/>
      <c r="D17" s="28"/>
      <c r="E17" s="28"/>
      <c r="F17" s="28"/>
      <c r="G17" s="28"/>
      <c r="H17" s="28"/>
      <c r="I17" s="28"/>
      <c r="J17" s="28"/>
      <c r="K17" s="28"/>
      <c r="L17" s="28"/>
      <c r="M17" s="28"/>
      <c r="N17" s="28"/>
      <c r="O17" s="28"/>
      <c r="P17" s="28"/>
      <c r="Q17" s="28"/>
      <c r="R17" s="28"/>
      <c r="S17" s="28"/>
      <c r="T17" s="28"/>
      <c r="U17" s="28"/>
    </row>
    <row r="18" spans="1:21" x14ac:dyDescent="0.3">
      <c r="A18" s="28"/>
      <c r="B18" s="28"/>
      <c r="C18" s="28"/>
      <c r="D18" s="28"/>
      <c r="E18" s="28"/>
      <c r="F18" s="28"/>
      <c r="G18" s="28"/>
      <c r="H18" s="28"/>
      <c r="I18" s="28"/>
      <c r="J18" s="28"/>
      <c r="K18" s="28"/>
      <c r="L18" s="28"/>
      <c r="M18" s="28"/>
      <c r="N18" s="28"/>
      <c r="O18" s="28"/>
      <c r="P18" s="28"/>
      <c r="Q18" s="28"/>
      <c r="R18" s="28"/>
      <c r="S18" s="28"/>
      <c r="T18" s="28"/>
      <c r="U18" s="28"/>
    </row>
    <row r="19" spans="1:21" x14ac:dyDescent="0.3">
      <c r="A19" s="28"/>
      <c r="B19" s="28"/>
      <c r="C19" s="28"/>
      <c r="D19" s="28"/>
      <c r="E19" s="28"/>
      <c r="F19" s="28"/>
      <c r="G19" s="28"/>
      <c r="H19" s="28"/>
      <c r="I19" s="28"/>
      <c r="J19" s="28"/>
      <c r="K19" s="28"/>
      <c r="L19" s="28"/>
      <c r="M19" s="28"/>
      <c r="N19" s="28"/>
      <c r="O19" s="28"/>
      <c r="P19" s="28"/>
      <c r="Q19" s="28"/>
      <c r="R19" s="28"/>
      <c r="S19" s="28"/>
      <c r="T19" s="28"/>
      <c r="U19" s="28"/>
    </row>
    <row r="20" spans="1:21" x14ac:dyDescent="0.3">
      <c r="A20" s="28"/>
      <c r="B20" s="28"/>
      <c r="C20" s="28"/>
      <c r="D20" s="28"/>
      <c r="E20" s="28"/>
      <c r="F20" s="28"/>
      <c r="G20" s="28"/>
      <c r="H20" s="28"/>
      <c r="I20" s="28"/>
      <c r="J20" s="28"/>
      <c r="K20" s="28"/>
      <c r="L20" s="28"/>
      <c r="M20" s="28"/>
      <c r="N20" s="28"/>
      <c r="O20" s="28"/>
      <c r="P20" s="28"/>
      <c r="Q20" s="28"/>
      <c r="R20" s="28"/>
      <c r="S20" s="28"/>
      <c r="T20" s="28"/>
      <c r="U20" s="28"/>
    </row>
    <row r="21" spans="1:21" x14ac:dyDescent="0.3">
      <c r="A21" s="28"/>
      <c r="B21" s="28"/>
      <c r="C21" s="28"/>
      <c r="D21" s="28"/>
      <c r="E21" s="28"/>
      <c r="F21" s="28"/>
      <c r="G21" s="28"/>
      <c r="H21" s="28"/>
      <c r="I21" s="28"/>
      <c r="J21" s="28"/>
      <c r="K21" s="28"/>
      <c r="L21" s="28"/>
      <c r="M21" s="28"/>
      <c r="N21" s="28"/>
      <c r="O21" s="28"/>
      <c r="P21" s="28"/>
      <c r="Q21" s="28"/>
      <c r="R21" s="28"/>
      <c r="S21" s="28"/>
      <c r="T21" s="28"/>
      <c r="U21" s="28"/>
    </row>
    <row r="22" spans="1:21" x14ac:dyDescent="0.3">
      <c r="A22" s="28"/>
      <c r="B22" s="28"/>
      <c r="C22" s="28"/>
      <c r="D22" s="28"/>
      <c r="E22" s="28"/>
      <c r="F22" s="28"/>
      <c r="G22" s="28"/>
      <c r="H22" s="28"/>
      <c r="I22" s="28"/>
      <c r="J22" s="28"/>
      <c r="K22" s="28"/>
      <c r="L22" s="28"/>
      <c r="M22" s="28"/>
      <c r="N22" s="28"/>
      <c r="O22" s="28"/>
      <c r="P22" s="28"/>
      <c r="Q22" s="28"/>
      <c r="R22" s="28"/>
      <c r="S22" s="28"/>
      <c r="T22" s="28"/>
      <c r="U22" s="28"/>
    </row>
    <row r="23" spans="1:21" x14ac:dyDescent="0.3">
      <c r="A23" s="28"/>
      <c r="B23" s="28"/>
      <c r="C23" s="28"/>
      <c r="D23" s="28"/>
      <c r="E23" s="28"/>
      <c r="F23" s="28"/>
      <c r="G23" s="28"/>
      <c r="H23" s="28"/>
      <c r="I23" s="28"/>
      <c r="J23" s="28"/>
      <c r="K23" s="28"/>
      <c r="L23" s="28"/>
      <c r="M23" s="28"/>
      <c r="N23" s="28"/>
      <c r="O23" s="28"/>
      <c r="P23" s="28"/>
      <c r="Q23" s="28"/>
      <c r="R23" s="28"/>
      <c r="S23" s="28"/>
      <c r="T23" s="28"/>
      <c r="U23" s="28"/>
    </row>
    <row r="24" spans="1:21" x14ac:dyDescent="0.3">
      <c r="A24" s="28"/>
      <c r="B24" s="28"/>
      <c r="C24" s="28"/>
      <c r="D24" s="28"/>
      <c r="E24" s="28"/>
      <c r="F24" s="28"/>
      <c r="G24" s="28"/>
      <c r="H24" s="28"/>
      <c r="I24" s="28"/>
      <c r="J24" s="28"/>
      <c r="K24" s="28"/>
      <c r="L24" s="28"/>
      <c r="M24" s="28"/>
      <c r="N24" s="28"/>
      <c r="O24" s="28"/>
      <c r="P24" s="28"/>
      <c r="Q24" s="28"/>
      <c r="R24" s="28"/>
      <c r="S24" s="28"/>
      <c r="T24" s="28"/>
      <c r="U24" s="28"/>
    </row>
    <row r="25" spans="1:21" x14ac:dyDescent="0.3">
      <c r="A25" s="28"/>
      <c r="B25" s="28"/>
      <c r="C25" s="28"/>
      <c r="D25" s="28"/>
      <c r="E25" s="28"/>
      <c r="F25" s="28"/>
      <c r="G25" s="28"/>
      <c r="H25" s="28"/>
      <c r="I25" s="28"/>
      <c r="J25" s="28"/>
      <c r="K25" s="28"/>
      <c r="L25" s="28"/>
      <c r="M25" s="28"/>
      <c r="N25" s="28"/>
      <c r="O25" s="28"/>
      <c r="P25" s="28"/>
      <c r="Q25" s="28"/>
      <c r="R25" s="28"/>
      <c r="S25" s="28"/>
      <c r="T25" s="28"/>
      <c r="U25" s="28"/>
    </row>
    <row r="26" spans="1:21" x14ac:dyDescent="0.3">
      <c r="A26" s="28"/>
      <c r="B26" s="28"/>
      <c r="C26" s="28"/>
      <c r="D26" s="28"/>
      <c r="E26" s="28"/>
      <c r="F26" s="28"/>
      <c r="G26" s="28"/>
      <c r="H26" s="28"/>
      <c r="I26" s="28"/>
      <c r="J26" s="28"/>
      <c r="K26" s="28"/>
      <c r="L26" s="28"/>
      <c r="M26" s="28"/>
      <c r="N26" s="28"/>
      <c r="O26" s="28"/>
      <c r="P26" s="28"/>
      <c r="Q26" s="28"/>
      <c r="R26" s="28"/>
      <c r="S26" s="28"/>
      <c r="T26" s="28"/>
      <c r="U26" s="28"/>
    </row>
    <row r="27" spans="1:21" x14ac:dyDescent="0.3">
      <c r="A27" s="28"/>
      <c r="B27" s="28"/>
      <c r="C27" s="28"/>
      <c r="D27" s="28"/>
      <c r="E27" s="28"/>
      <c r="F27" s="28"/>
      <c r="G27" s="28"/>
      <c r="H27" s="28"/>
      <c r="I27" s="28"/>
      <c r="J27" s="28"/>
      <c r="K27" s="28"/>
      <c r="L27" s="28"/>
      <c r="M27" s="28"/>
      <c r="N27" s="28"/>
      <c r="O27" s="28"/>
      <c r="P27" s="28"/>
      <c r="Q27" s="28"/>
      <c r="R27" s="28"/>
      <c r="S27" s="28"/>
      <c r="T27" s="28"/>
      <c r="U27" s="28"/>
    </row>
    <row r="28" spans="1:21" x14ac:dyDescent="0.3">
      <c r="A28" s="28"/>
      <c r="B28" s="28"/>
      <c r="C28" s="28"/>
      <c r="D28" s="28"/>
      <c r="E28" s="28"/>
      <c r="F28" s="28"/>
      <c r="G28" s="28"/>
      <c r="H28" s="28"/>
      <c r="I28" s="28"/>
      <c r="J28" s="28"/>
      <c r="K28" s="28"/>
      <c r="L28" s="28"/>
      <c r="M28" s="28"/>
      <c r="N28" s="28"/>
      <c r="O28" s="28"/>
      <c r="P28" s="28"/>
      <c r="Q28" s="28"/>
      <c r="R28" s="28"/>
      <c r="S28" s="28"/>
      <c r="T28" s="28"/>
      <c r="U28" s="28"/>
    </row>
    <row r="29" spans="1:21" x14ac:dyDescent="0.3">
      <c r="A29" s="28"/>
      <c r="B29" s="28"/>
      <c r="C29" s="28"/>
      <c r="D29" s="28"/>
      <c r="E29" s="28"/>
      <c r="F29" s="28"/>
      <c r="G29" s="28"/>
      <c r="H29" s="28"/>
      <c r="I29" s="28"/>
      <c r="J29" s="28"/>
      <c r="K29" s="28"/>
      <c r="L29" s="28"/>
      <c r="M29" s="28"/>
      <c r="N29" s="28"/>
      <c r="O29" s="28"/>
      <c r="P29" s="28"/>
      <c r="Q29" s="28"/>
      <c r="R29" s="28"/>
      <c r="S29" s="28"/>
      <c r="T29" s="28"/>
      <c r="U29" s="28"/>
    </row>
    <row r="30" spans="1:21" x14ac:dyDescent="0.3">
      <c r="A30" s="28"/>
      <c r="B30" s="28"/>
      <c r="C30" s="28"/>
      <c r="D30" s="28"/>
      <c r="E30" s="28"/>
      <c r="F30" s="28"/>
      <c r="G30" s="28"/>
      <c r="H30" s="28"/>
      <c r="I30" s="28"/>
      <c r="J30" s="28"/>
      <c r="K30" s="28"/>
      <c r="L30" s="28"/>
      <c r="M30" s="28"/>
      <c r="N30" s="28"/>
      <c r="O30" s="28"/>
      <c r="P30" s="28"/>
      <c r="Q30" s="28"/>
      <c r="R30" s="28"/>
      <c r="S30" s="28"/>
      <c r="T30" s="28"/>
      <c r="U30" s="28"/>
    </row>
    <row r="31" spans="1:21" x14ac:dyDescent="0.3">
      <c r="A31" s="28"/>
      <c r="B31" s="28"/>
      <c r="C31" s="28"/>
      <c r="D31" s="28"/>
      <c r="E31" s="28"/>
      <c r="F31" s="28"/>
      <c r="G31" s="28"/>
      <c r="H31" s="28"/>
      <c r="I31" s="28"/>
      <c r="J31" s="28"/>
      <c r="K31" s="28"/>
      <c r="L31" s="28"/>
      <c r="M31" s="28"/>
      <c r="N31" s="28"/>
      <c r="O31" s="28"/>
      <c r="P31" s="28"/>
      <c r="Q31" s="28"/>
      <c r="R31" s="28"/>
      <c r="S31" s="28"/>
      <c r="T31" s="28"/>
      <c r="U31" s="28"/>
    </row>
    <row r="32" spans="1:21" x14ac:dyDescent="0.3">
      <c r="A32" s="28"/>
      <c r="B32" s="28"/>
      <c r="C32" s="28"/>
      <c r="D32" s="28"/>
      <c r="E32" s="28"/>
      <c r="F32" s="28"/>
      <c r="G32" s="28"/>
      <c r="H32" s="28"/>
      <c r="I32" s="28"/>
      <c r="J32" s="28"/>
      <c r="K32" s="28"/>
      <c r="L32" s="28"/>
      <c r="M32" s="28"/>
      <c r="N32" s="28"/>
      <c r="O32" s="28"/>
      <c r="P32" s="28"/>
      <c r="Q32" s="28"/>
      <c r="R32" s="28"/>
      <c r="S32" s="28"/>
      <c r="T32" s="28"/>
      <c r="U32" s="28"/>
    </row>
    <row r="33" spans="1:21" x14ac:dyDescent="0.3">
      <c r="A33" s="28"/>
      <c r="B33" s="28"/>
      <c r="C33" s="28"/>
      <c r="D33" s="28"/>
      <c r="E33" s="28"/>
      <c r="F33" s="28"/>
      <c r="G33" s="28"/>
      <c r="H33" s="28"/>
      <c r="I33" s="28"/>
      <c r="J33" s="28"/>
      <c r="K33" s="28"/>
      <c r="L33" s="28"/>
      <c r="M33" s="28"/>
      <c r="N33" s="28"/>
      <c r="O33" s="28"/>
      <c r="P33" s="28"/>
      <c r="Q33" s="28"/>
      <c r="R33" s="28"/>
      <c r="S33" s="28"/>
      <c r="T33" s="28"/>
      <c r="U33" s="28"/>
    </row>
    <row r="34" spans="1:21" x14ac:dyDescent="0.3">
      <c r="A34" s="28"/>
      <c r="B34" s="28"/>
      <c r="C34" s="28"/>
      <c r="D34" s="28"/>
      <c r="E34" s="28"/>
      <c r="F34" s="28"/>
      <c r="G34" s="28"/>
      <c r="H34" s="28"/>
      <c r="I34" s="28"/>
      <c r="J34" s="28"/>
      <c r="K34" s="28"/>
      <c r="L34" s="28"/>
      <c r="M34" s="28"/>
      <c r="N34" s="28"/>
      <c r="O34" s="28"/>
      <c r="P34" s="28"/>
      <c r="Q34" s="28"/>
      <c r="R34" s="28"/>
      <c r="S34" s="28"/>
      <c r="T34" s="28"/>
      <c r="U34" s="28"/>
    </row>
    <row r="35" spans="1:21" x14ac:dyDescent="0.3">
      <c r="A35" s="28"/>
      <c r="B35" s="28"/>
      <c r="C35" s="28"/>
      <c r="D35" s="28"/>
      <c r="E35" s="28"/>
      <c r="F35" s="28"/>
      <c r="G35" s="28"/>
      <c r="H35" s="28"/>
      <c r="I35" s="28"/>
      <c r="J35" s="28"/>
      <c r="K35" s="28"/>
      <c r="L35" s="28"/>
      <c r="M35" s="28"/>
      <c r="N35" s="28"/>
      <c r="O35" s="28"/>
      <c r="P35" s="28"/>
      <c r="Q35" s="28"/>
      <c r="R35" s="28"/>
      <c r="S35" s="28"/>
      <c r="T35" s="28"/>
      <c r="U35" s="28"/>
    </row>
    <row r="36" spans="1:21" x14ac:dyDescent="0.3">
      <c r="A36" s="28"/>
      <c r="B36" s="28"/>
      <c r="C36" s="28"/>
      <c r="D36" s="28"/>
      <c r="E36" s="28"/>
      <c r="F36" s="28"/>
      <c r="G36" s="28"/>
      <c r="H36" s="28"/>
      <c r="I36" s="28"/>
      <c r="J36" s="28"/>
      <c r="K36" s="28"/>
      <c r="L36" s="28"/>
      <c r="M36" s="28"/>
      <c r="N36" s="28"/>
      <c r="O36" s="28"/>
      <c r="P36" s="28"/>
      <c r="Q36" s="28"/>
      <c r="R36" s="28"/>
      <c r="S36" s="28"/>
      <c r="T36" s="28"/>
      <c r="U36" s="28"/>
    </row>
    <row r="37" spans="1:21" x14ac:dyDescent="0.3">
      <c r="A37" s="28"/>
      <c r="B37" s="28"/>
      <c r="C37" s="28"/>
      <c r="D37" s="28"/>
      <c r="E37" s="28"/>
      <c r="F37" s="28"/>
      <c r="G37" s="28"/>
      <c r="H37" s="28"/>
      <c r="I37" s="28"/>
      <c r="J37" s="28"/>
      <c r="K37" s="28"/>
      <c r="L37" s="28"/>
      <c r="M37" s="28"/>
      <c r="N37" s="28"/>
      <c r="O37" s="28"/>
      <c r="P37" s="28"/>
      <c r="Q37" s="28"/>
      <c r="R37" s="28"/>
      <c r="S37" s="28"/>
      <c r="T37" s="28"/>
      <c r="U37" s="28"/>
    </row>
    <row r="38" spans="1:21" x14ac:dyDescent="0.3">
      <c r="A38" s="28"/>
      <c r="B38" s="28"/>
      <c r="C38" s="28"/>
      <c r="D38" s="28"/>
      <c r="E38" s="28"/>
      <c r="F38" s="28"/>
      <c r="G38" s="28"/>
      <c r="H38" s="28"/>
      <c r="I38" s="28"/>
      <c r="J38" s="28"/>
      <c r="K38" s="28"/>
      <c r="L38" s="28"/>
      <c r="M38" s="28"/>
      <c r="N38" s="28"/>
      <c r="O38" s="28"/>
      <c r="P38" s="28"/>
      <c r="Q38" s="28"/>
      <c r="R38" s="28"/>
      <c r="S38" s="28"/>
      <c r="T38" s="28"/>
      <c r="U38" s="28"/>
    </row>
    <row r="39" spans="1:21" x14ac:dyDescent="0.3">
      <c r="A39" s="28"/>
      <c r="B39" s="28"/>
      <c r="C39" s="28"/>
      <c r="D39" s="28"/>
      <c r="E39" s="28"/>
      <c r="F39" s="28"/>
      <c r="G39" s="28"/>
      <c r="H39" s="28"/>
      <c r="I39" s="28"/>
      <c r="J39" s="28"/>
      <c r="K39" s="28"/>
      <c r="L39" s="28"/>
      <c r="M39" s="28"/>
      <c r="N39" s="28"/>
      <c r="O39" s="28"/>
      <c r="P39" s="28"/>
      <c r="Q39" s="28"/>
      <c r="R39" s="28"/>
      <c r="S39" s="28"/>
      <c r="T39" s="28"/>
      <c r="U39" s="28"/>
    </row>
    <row r="40" spans="1:21" x14ac:dyDescent="0.3">
      <c r="A40" s="28"/>
      <c r="B40" s="28"/>
      <c r="C40" s="28"/>
      <c r="D40" s="28"/>
      <c r="E40" s="28"/>
      <c r="F40" s="28"/>
      <c r="G40" s="28"/>
      <c r="H40" s="28"/>
      <c r="I40" s="28"/>
      <c r="J40" s="28"/>
      <c r="K40" s="28"/>
      <c r="L40" s="28"/>
      <c r="M40" s="28"/>
      <c r="N40" s="28"/>
      <c r="O40" s="28"/>
      <c r="P40" s="28"/>
      <c r="Q40" s="28"/>
      <c r="R40" s="28"/>
      <c r="S40" s="28"/>
      <c r="T40" s="28"/>
      <c r="U40" s="28"/>
    </row>
    <row r="41" spans="1:21" x14ac:dyDescent="0.3">
      <c r="A41" s="28"/>
      <c r="B41" s="28"/>
      <c r="C41" s="28"/>
      <c r="D41" s="28"/>
      <c r="E41" s="28"/>
      <c r="F41" s="28"/>
      <c r="G41" s="28"/>
      <c r="H41" s="28"/>
      <c r="I41" s="28"/>
      <c r="J41" s="28"/>
      <c r="K41" s="28"/>
      <c r="L41" s="28"/>
      <c r="M41" s="28"/>
      <c r="N41" s="28"/>
      <c r="O41" s="28"/>
      <c r="P41" s="28"/>
      <c r="Q41" s="28"/>
      <c r="R41" s="28"/>
      <c r="S41" s="28"/>
      <c r="T41" s="28"/>
      <c r="U41" s="28"/>
    </row>
    <row r="42" spans="1:21" x14ac:dyDescent="0.3">
      <c r="A42" s="28"/>
      <c r="B42" s="28"/>
      <c r="C42" s="28"/>
      <c r="D42" s="28"/>
      <c r="E42" s="28"/>
      <c r="F42" s="28"/>
      <c r="G42" s="28"/>
      <c r="H42" s="28"/>
      <c r="I42" s="28"/>
      <c r="J42" s="28"/>
      <c r="K42" s="28"/>
      <c r="L42" s="28"/>
      <c r="M42" s="28"/>
      <c r="N42" s="28"/>
      <c r="O42" s="28"/>
      <c r="P42" s="28"/>
      <c r="Q42" s="28"/>
      <c r="R42" s="28"/>
      <c r="S42" s="28"/>
      <c r="T42" s="28"/>
      <c r="U42" s="28"/>
    </row>
    <row r="43" spans="1:21" x14ac:dyDescent="0.3">
      <c r="A43" s="28"/>
      <c r="B43" s="28"/>
      <c r="C43" s="28"/>
      <c r="D43" s="28"/>
      <c r="E43" s="28"/>
      <c r="F43" s="28"/>
      <c r="G43" s="28"/>
      <c r="H43" s="28"/>
      <c r="I43" s="28"/>
      <c r="J43" s="28"/>
      <c r="K43" s="28"/>
      <c r="L43" s="28"/>
      <c r="M43" s="28"/>
      <c r="N43" s="28"/>
      <c r="O43" s="28"/>
      <c r="P43" s="28"/>
      <c r="Q43" s="28"/>
      <c r="R43" s="28"/>
      <c r="S43" s="28"/>
      <c r="T43" s="28"/>
      <c r="U43" s="28"/>
    </row>
    <row r="44" spans="1:21" x14ac:dyDescent="0.3">
      <c r="A44" s="28"/>
      <c r="B44" s="28"/>
      <c r="C44" s="28"/>
      <c r="D44" s="28"/>
      <c r="E44" s="28"/>
      <c r="F44" s="28"/>
      <c r="G44" s="28"/>
      <c r="H44" s="28"/>
      <c r="I44" s="28"/>
      <c r="J44" s="28"/>
      <c r="K44" s="28"/>
      <c r="L44" s="28"/>
      <c r="M44" s="28"/>
      <c r="N44" s="28"/>
      <c r="O44" s="28"/>
      <c r="P44" s="28"/>
      <c r="Q44" s="28"/>
      <c r="R44" s="28"/>
      <c r="S44" s="28"/>
      <c r="T44" s="28"/>
      <c r="U44" s="28"/>
    </row>
  </sheetData>
  <mergeCells count="7">
    <mergeCell ref="A1:U2"/>
    <mergeCell ref="A4:A6"/>
    <mergeCell ref="C4:C6"/>
    <mergeCell ref="E4:E6"/>
    <mergeCell ref="G4:G6"/>
    <mergeCell ref="I4:I6"/>
    <mergeCell ref="K4:K6"/>
  </mergeCells>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Customers</vt:lpstr>
      <vt:lpstr>Orders</vt:lpstr>
      <vt:lpstr>Sheet1</vt:lpstr>
      <vt:lpstr>Sheet2</vt:lpstr>
      <vt:lpstr>Sheet5</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2026-03-07T06:50:37Z</dcterms:created>
  <dcterms:modified xsi:type="dcterms:W3CDTF">2026-03-18T12:07:10Z</dcterms:modified>
</cp:coreProperties>
</file>